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 codeName="{00000000-0000-0000-0000-000000000000}"/>
  <workbookPr showInkAnnotation="0" codeName="ThisWorkbook" autoCompressPictures="0"/>
  <bookViews>
    <workbookView xWindow="2440" yWindow="1220" windowWidth="24900" windowHeight="15560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M9" i="3"/>
  <c r="AZ10" i="3"/>
  <c r="AZ11" i="3"/>
  <c r="AZ12" i="3"/>
  <c r="AZ13" i="3"/>
  <c r="AZ14" i="3"/>
  <c r="AZ15" i="3"/>
  <c r="AZ16" i="3"/>
  <c r="AZ17" i="3"/>
  <c r="AZ18" i="3"/>
  <c r="AZ19" i="3"/>
  <c r="AZ20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AZ51" i="3"/>
  <c r="AZ52" i="3"/>
  <c r="AZ53" i="3"/>
  <c r="AZ54" i="3"/>
  <c r="AZ55" i="3"/>
  <c r="AZ56" i="3"/>
  <c r="AZ57" i="3"/>
  <c r="AZ58" i="3"/>
  <c r="AZ59" i="3"/>
  <c r="AZ60" i="3"/>
  <c r="AZ61" i="3"/>
  <c r="AZ62" i="3"/>
  <c r="AZ63" i="3"/>
  <c r="AZ64" i="3"/>
  <c r="AZ65" i="3"/>
  <c r="AZ66" i="3"/>
  <c r="AZ67" i="3"/>
  <c r="AZ68" i="3"/>
  <c r="AZ69" i="3"/>
  <c r="AZ70" i="3"/>
  <c r="AZ71" i="3"/>
  <c r="AZ72" i="3"/>
  <c r="AZ73" i="3"/>
  <c r="AZ74" i="3"/>
  <c r="AZ75" i="3"/>
  <c r="AZ76" i="3"/>
  <c r="AZ77" i="3"/>
  <c r="AZ78" i="3"/>
  <c r="AZ79" i="3"/>
  <c r="AZ80" i="3"/>
  <c r="AZ81" i="3"/>
  <c r="AZ82" i="3"/>
  <c r="AZ83" i="3"/>
  <c r="AZ84" i="3"/>
  <c r="AZ85" i="3"/>
  <c r="AZ86" i="3"/>
  <c r="AZ87" i="3"/>
  <c r="AZ88" i="3"/>
  <c r="AZ89" i="3"/>
  <c r="AZ90" i="3"/>
  <c r="AZ91" i="3"/>
  <c r="AZ92" i="3"/>
  <c r="AZ93" i="3"/>
  <c r="AZ94" i="3"/>
  <c r="AZ95" i="3"/>
  <c r="AZ96" i="3"/>
  <c r="AZ97" i="3"/>
  <c r="AZ98" i="3"/>
  <c r="AZ99" i="3"/>
  <c r="AZ100" i="3"/>
  <c r="BM10" i="3"/>
  <c r="BM11" i="3"/>
  <c r="BM12" i="3"/>
  <c r="BM13" i="3"/>
  <c r="BM14" i="3"/>
  <c r="AL9" i="3"/>
  <c r="AY10" i="3"/>
  <c r="AY11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BL10" i="3"/>
  <c r="BL11" i="3"/>
  <c r="BL12" i="3"/>
  <c r="BL13" i="3"/>
  <c r="BL14" i="3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G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BG10" i="3"/>
  <c r="BG11" i="3"/>
  <c r="BG12" i="3"/>
  <c r="BG13" i="3"/>
  <c r="BG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D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BD10" i="3"/>
  <c r="BD11" i="3"/>
  <c r="BD12" i="3"/>
  <c r="BD13" i="3"/>
  <c r="BD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M84" i="3"/>
  <c r="AL84" i="3"/>
  <c r="AK84" i="3"/>
  <c r="AJ84" i="3"/>
  <c r="AI84" i="3"/>
  <c r="AH84" i="3"/>
  <c r="AG84" i="3"/>
  <c r="AF84" i="3"/>
  <c r="AE84" i="3"/>
  <c r="AD84" i="3"/>
  <c r="AC84" i="3"/>
  <c r="AB84" i="3"/>
  <c r="AM83" i="3"/>
  <c r="AL83" i="3"/>
  <c r="AK83" i="3"/>
  <c r="AJ83" i="3"/>
  <c r="AI83" i="3"/>
  <c r="AH83" i="3"/>
  <c r="AG83" i="3"/>
  <c r="AF83" i="3"/>
  <c r="AE83" i="3"/>
  <c r="AD83" i="3"/>
  <c r="AC83" i="3"/>
  <c r="AB83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M80" i="3"/>
  <c r="AL80" i="3"/>
  <c r="AK80" i="3"/>
  <c r="AJ80" i="3"/>
  <c r="AI80" i="3"/>
  <c r="AH80" i="3"/>
  <c r="AG80" i="3"/>
  <c r="AF80" i="3"/>
  <c r="AE80" i="3"/>
  <c r="AD80" i="3"/>
  <c r="AC80" i="3"/>
  <c r="AB80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M71" i="3"/>
  <c r="AL71" i="3"/>
  <c r="AK71" i="3"/>
  <c r="AJ71" i="3"/>
  <c r="AI71" i="3"/>
  <c r="AH71" i="3"/>
  <c r="AG71" i="3"/>
  <c r="AF71" i="3"/>
  <c r="AE71" i="3"/>
  <c r="AD71" i="3"/>
  <c r="AC71" i="3"/>
  <c r="AB71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M65" i="3"/>
  <c r="AL65" i="3"/>
  <c r="AK65" i="3"/>
  <c r="AJ65" i="3"/>
  <c r="AI65" i="3"/>
  <c r="AH65" i="3"/>
  <c r="AG65" i="3"/>
  <c r="AF65" i="3"/>
  <c r="AE65" i="3"/>
  <c r="AD65" i="3"/>
  <c r="AC65" i="3"/>
  <c r="AB65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E2" i="2"/>
  <c r="AE1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D100" i="3"/>
  <c r="H100" i="2"/>
  <c r="G100" i="2"/>
  <c r="F100" i="2"/>
  <c r="E100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D99" i="3"/>
  <c r="H99" i="2"/>
  <c r="G99" i="2"/>
  <c r="F99" i="2"/>
  <c r="E99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D98" i="3"/>
  <c r="H98" i="2"/>
  <c r="G98" i="2"/>
  <c r="F98" i="2"/>
  <c r="E98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D97" i="3"/>
  <c r="H97" i="2"/>
  <c r="G97" i="2"/>
  <c r="F97" i="2"/>
  <c r="E97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D96" i="3"/>
  <c r="H96" i="2"/>
  <c r="G96" i="2"/>
  <c r="F96" i="2"/>
  <c r="E96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D95" i="3"/>
  <c r="H95" i="2"/>
  <c r="G95" i="2"/>
  <c r="F95" i="2"/>
  <c r="E95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D94" i="3"/>
  <c r="H94" i="2"/>
  <c r="G94" i="2"/>
  <c r="F94" i="2"/>
  <c r="E94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D93" i="3"/>
  <c r="H93" i="2"/>
  <c r="G93" i="2"/>
  <c r="F93" i="2"/>
  <c r="E93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D92" i="3"/>
  <c r="H92" i="2"/>
  <c r="G92" i="2"/>
  <c r="F92" i="2"/>
  <c r="E92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D91" i="3"/>
  <c r="H91" i="2"/>
  <c r="G91" i="2"/>
  <c r="F91" i="2"/>
  <c r="E91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D90" i="3"/>
  <c r="H90" i="2"/>
  <c r="G90" i="2"/>
  <c r="F90" i="2"/>
  <c r="E90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D89" i="3"/>
  <c r="H89" i="2"/>
  <c r="G89" i="2"/>
  <c r="F89" i="2"/>
  <c r="E89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D88" i="3"/>
  <c r="H88" i="2"/>
  <c r="G88" i="2"/>
  <c r="F88" i="2"/>
  <c r="E88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D87" i="3"/>
  <c r="H87" i="2"/>
  <c r="G87" i="2"/>
  <c r="F87" i="2"/>
  <c r="E87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D86" i="3"/>
  <c r="H86" i="2"/>
  <c r="G86" i="2"/>
  <c r="F86" i="2"/>
  <c r="E86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D85" i="3"/>
  <c r="H85" i="2"/>
  <c r="G85" i="2"/>
  <c r="F85" i="2"/>
  <c r="E85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D84" i="3"/>
  <c r="H84" i="2"/>
  <c r="G84" i="2"/>
  <c r="F84" i="2"/>
  <c r="E84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D83" i="3"/>
  <c r="H83" i="2"/>
  <c r="G83" i="2"/>
  <c r="F83" i="2"/>
  <c r="E83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D82" i="3"/>
  <c r="H82" i="2"/>
  <c r="G82" i="2"/>
  <c r="F82" i="2"/>
  <c r="E82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D81" i="3"/>
  <c r="H81" i="2"/>
  <c r="G81" i="2"/>
  <c r="F81" i="2"/>
  <c r="E81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D80" i="3"/>
  <c r="H80" i="2"/>
  <c r="G80" i="2"/>
  <c r="F80" i="2"/>
  <c r="E80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D79" i="3"/>
  <c r="H79" i="2"/>
  <c r="G79" i="2"/>
  <c r="F79" i="2"/>
  <c r="E79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D78" i="3"/>
  <c r="H78" i="2"/>
  <c r="G78" i="2"/>
  <c r="F78" i="2"/>
  <c r="E78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D77" i="3"/>
  <c r="H77" i="2"/>
  <c r="G77" i="2"/>
  <c r="F77" i="2"/>
  <c r="E77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D76" i="3"/>
  <c r="H76" i="2"/>
  <c r="G76" i="2"/>
  <c r="F76" i="2"/>
  <c r="E76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D75" i="3"/>
  <c r="H75" i="2"/>
  <c r="G75" i="2"/>
  <c r="F75" i="2"/>
  <c r="E75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D74" i="3"/>
  <c r="H74" i="2"/>
  <c r="G74" i="2"/>
  <c r="F74" i="2"/>
  <c r="E74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D73" i="3"/>
  <c r="H73" i="2"/>
  <c r="G73" i="2"/>
  <c r="F73" i="2"/>
  <c r="E73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D72" i="3"/>
  <c r="H72" i="2"/>
  <c r="G72" i="2"/>
  <c r="F72" i="2"/>
  <c r="E72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D71" i="3"/>
  <c r="H71" i="2"/>
  <c r="G71" i="2"/>
  <c r="F71" i="2"/>
  <c r="E71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D70" i="3"/>
  <c r="H70" i="2"/>
  <c r="G70" i="2"/>
  <c r="F70" i="2"/>
  <c r="E70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D69" i="3"/>
  <c r="H69" i="2"/>
  <c r="G69" i="2"/>
  <c r="F69" i="2"/>
  <c r="E69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D68" i="3"/>
  <c r="H68" i="2"/>
  <c r="G68" i="2"/>
  <c r="F68" i="2"/>
  <c r="E68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D67" i="3"/>
  <c r="H67" i="2"/>
  <c r="G67" i="2"/>
  <c r="F67" i="2"/>
  <c r="E67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D66" i="3"/>
  <c r="H66" i="2"/>
  <c r="G66" i="2"/>
  <c r="F66" i="2"/>
  <c r="E66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D65" i="3"/>
  <c r="H65" i="2"/>
  <c r="G65" i="2"/>
  <c r="F65" i="2"/>
  <c r="E65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D64" i="3"/>
  <c r="H64" i="2"/>
  <c r="G64" i="2"/>
  <c r="F64" i="2"/>
  <c r="E64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D63" i="3"/>
  <c r="H63" i="2"/>
  <c r="G63" i="2"/>
  <c r="F63" i="2"/>
  <c r="E63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D62" i="3"/>
  <c r="H62" i="2"/>
  <c r="G62" i="2"/>
  <c r="F62" i="2"/>
  <c r="E62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D61" i="3"/>
  <c r="H61" i="2"/>
  <c r="G61" i="2"/>
  <c r="F61" i="2"/>
  <c r="E61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D60" i="3"/>
  <c r="H60" i="2"/>
  <c r="G60" i="2"/>
  <c r="F60" i="2"/>
  <c r="E60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D59" i="3"/>
  <c r="H59" i="2"/>
  <c r="G59" i="2"/>
  <c r="F59" i="2"/>
  <c r="E59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D58" i="3"/>
  <c r="H58" i="2"/>
  <c r="G58" i="2"/>
  <c r="F58" i="2"/>
  <c r="E58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D57" i="3"/>
  <c r="H57" i="2"/>
  <c r="G57" i="2"/>
  <c r="F57" i="2"/>
  <c r="E57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D56" i="3"/>
  <c r="H56" i="2"/>
  <c r="G56" i="2"/>
  <c r="F56" i="2"/>
  <c r="E56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D55" i="3"/>
  <c r="H55" i="2"/>
  <c r="G55" i="2"/>
  <c r="F55" i="2"/>
  <c r="E55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D54" i="3"/>
  <c r="H54" i="2"/>
  <c r="G54" i="2"/>
  <c r="F54" i="2"/>
  <c r="E54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D53" i="3"/>
  <c r="H53" i="2"/>
  <c r="G53" i="2"/>
  <c r="F53" i="2"/>
  <c r="E53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D52" i="3"/>
  <c r="H52" i="2"/>
  <c r="G52" i="2"/>
  <c r="F52" i="2"/>
  <c r="E52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D51" i="3"/>
  <c r="H51" i="2"/>
  <c r="G51" i="2"/>
  <c r="F51" i="2"/>
  <c r="E51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D50" i="3"/>
  <c r="H50" i="2"/>
  <c r="G50" i="2"/>
  <c r="F50" i="2"/>
  <c r="E50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D49" i="3"/>
  <c r="H49" i="2"/>
  <c r="G49" i="2"/>
  <c r="F49" i="2"/>
  <c r="E49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D48" i="3"/>
  <c r="H48" i="2"/>
  <c r="G48" i="2"/>
  <c r="F48" i="2"/>
  <c r="E48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D47" i="3"/>
  <c r="H47" i="2"/>
  <c r="G47" i="2"/>
  <c r="F47" i="2"/>
  <c r="E47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D46" i="3"/>
  <c r="H46" i="2"/>
  <c r="G46" i="2"/>
  <c r="F46" i="2"/>
  <c r="E46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D45" i="3"/>
  <c r="H45" i="2"/>
  <c r="G45" i="2"/>
  <c r="F45" i="2"/>
  <c r="E45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D44" i="3"/>
  <c r="H44" i="2"/>
  <c r="G44" i="2"/>
  <c r="F44" i="2"/>
  <c r="E44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D43" i="3"/>
  <c r="H43" i="2"/>
  <c r="G43" i="2"/>
  <c r="F43" i="2"/>
  <c r="E43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D42" i="3"/>
  <c r="H42" i="2"/>
  <c r="G42" i="2"/>
  <c r="F42" i="2"/>
  <c r="E42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D41" i="3"/>
  <c r="H41" i="2"/>
  <c r="G41" i="2"/>
  <c r="F41" i="2"/>
  <c r="E41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D40" i="3"/>
  <c r="H40" i="2"/>
  <c r="G40" i="2"/>
  <c r="F40" i="2"/>
  <c r="E40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D39" i="3"/>
  <c r="H39" i="2"/>
  <c r="G39" i="2"/>
  <c r="F39" i="2"/>
  <c r="E39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D38" i="3"/>
  <c r="H38" i="2"/>
  <c r="G38" i="2"/>
  <c r="F38" i="2"/>
  <c r="E38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D37" i="3"/>
  <c r="H37" i="2"/>
  <c r="G37" i="2"/>
  <c r="F37" i="2"/>
  <c r="E37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D36" i="3"/>
  <c r="H36" i="2"/>
  <c r="G36" i="2"/>
  <c r="F36" i="2"/>
  <c r="E36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D35" i="3"/>
  <c r="H35" i="2"/>
  <c r="G35" i="2"/>
  <c r="F35" i="2"/>
  <c r="E35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D34" i="3"/>
  <c r="H34" i="2"/>
  <c r="G34" i="2"/>
  <c r="F34" i="2"/>
  <c r="E34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D33" i="3"/>
  <c r="H33" i="2"/>
  <c r="G33" i="2"/>
  <c r="F33" i="2"/>
  <c r="E33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D32" i="3"/>
  <c r="H32" i="2"/>
  <c r="G32" i="2"/>
  <c r="F32" i="2"/>
  <c r="E32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D31" i="3"/>
  <c r="H31" i="2"/>
  <c r="G31" i="2"/>
  <c r="F31" i="2"/>
  <c r="E31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D30" i="3"/>
  <c r="H30" i="2"/>
  <c r="G30" i="2"/>
  <c r="F30" i="2"/>
  <c r="E30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D29" i="3"/>
  <c r="H29" i="2"/>
  <c r="G29" i="2"/>
  <c r="F29" i="2"/>
  <c r="E29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D28" i="3"/>
  <c r="H28" i="2"/>
  <c r="G28" i="2"/>
  <c r="F28" i="2"/>
  <c r="E28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D27" i="3"/>
  <c r="H27" i="2"/>
  <c r="G27" i="2"/>
  <c r="F27" i="2"/>
  <c r="E27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D26" i="3"/>
  <c r="H26" i="2"/>
  <c r="G26" i="2"/>
  <c r="F26" i="2"/>
  <c r="E26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D25" i="3"/>
  <c r="H25" i="2"/>
  <c r="G25" i="2"/>
  <c r="F25" i="2"/>
  <c r="E25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D24" i="3"/>
  <c r="H24" i="2"/>
  <c r="G24" i="2"/>
  <c r="F24" i="2"/>
  <c r="E24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D23" i="3"/>
  <c r="H23" i="2"/>
  <c r="G23" i="2"/>
  <c r="F23" i="2"/>
  <c r="E23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D22" i="3"/>
  <c r="H22" i="2"/>
  <c r="G22" i="2"/>
  <c r="F22" i="2"/>
  <c r="E22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D21" i="3"/>
  <c r="H21" i="2"/>
  <c r="G21" i="2"/>
  <c r="F21" i="2"/>
  <c r="E21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D20" i="3"/>
  <c r="H20" i="2"/>
  <c r="G20" i="2"/>
  <c r="F20" i="2"/>
  <c r="E20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D19" i="3"/>
  <c r="H19" i="2"/>
  <c r="G19" i="2"/>
  <c r="F19" i="2"/>
  <c r="E19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D18" i="3"/>
  <c r="H18" i="2"/>
  <c r="G18" i="2"/>
  <c r="F18" i="2"/>
  <c r="E18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D17" i="3"/>
  <c r="H17" i="2"/>
  <c r="G17" i="2"/>
  <c r="F17" i="2"/>
  <c r="E17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D16" i="3"/>
  <c r="H16" i="2"/>
  <c r="G16" i="2"/>
  <c r="F16" i="2"/>
  <c r="E16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D15" i="3"/>
  <c r="H15" i="2"/>
  <c r="G15" i="2"/>
  <c r="F15" i="2"/>
  <c r="E15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D14" i="3"/>
  <c r="H14" i="2"/>
  <c r="G14" i="2"/>
  <c r="F14" i="2"/>
  <c r="E14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D13" i="3"/>
  <c r="H13" i="2"/>
  <c r="G13" i="2"/>
  <c r="F13" i="2"/>
  <c r="E13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D12" i="3"/>
  <c r="H12" i="2"/>
  <c r="G12" i="2"/>
  <c r="F12" i="2"/>
  <c r="E12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D11" i="3"/>
  <c r="H11" i="2"/>
  <c r="G11" i="2"/>
  <c r="F11" i="2"/>
  <c r="E11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100" i="3"/>
  <c r="B100" i="3"/>
  <c r="A100" i="3"/>
  <c r="C99" i="3"/>
  <c r="B99" i="3"/>
  <c r="A99" i="3"/>
  <c r="C98" i="3"/>
  <c r="B98" i="3"/>
  <c r="A98" i="3"/>
  <c r="C97" i="3"/>
  <c r="B97" i="3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B92" i="3"/>
  <c r="A92" i="3"/>
  <c r="C91" i="3"/>
  <c r="B91" i="3"/>
  <c r="A91" i="3"/>
  <c r="C90" i="3"/>
  <c r="B90" i="3"/>
  <c r="A90" i="3"/>
  <c r="C89" i="3"/>
  <c r="B89" i="3"/>
  <c r="A89" i="3"/>
  <c r="C88" i="3"/>
  <c r="B88" i="3"/>
  <c r="A88" i="3"/>
  <c r="C87" i="3"/>
  <c r="B87" i="3"/>
  <c r="A87" i="3"/>
  <c r="C86" i="3"/>
  <c r="B86" i="3"/>
  <c r="A86" i="3"/>
  <c r="C85" i="3"/>
  <c r="B85" i="3"/>
  <c r="A85" i="3"/>
  <c r="C84" i="3"/>
  <c r="B84" i="3"/>
  <c r="A84" i="3"/>
  <c r="C83" i="3"/>
  <c r="B83" i="3"/>
  <c r="A83" i="3"/>
  <c r="C82" i="3"/>
  <c r="B82" i="3"/>
  <c r="A82" i="3"/>
  <c r="C81" i="3"/>
  <c r="B81" i="3"/>
  <c r="A81" i="3"/>
  <c r="C80" i="3"/>
  <c r="B80" i="3"/>
  <c r="A80" i="3"/>
  <c r="C79" i="3"/>
  <c r="B79" i="3"/>
  <c r="A79" i="3"/>
  <c r="C78" i="3"/>
  <c r="B78" i="3"/>
  <c r="A78" i="3"/>
  <c r="C77" i="3"/>
  <c r="B77" i="3"/>
  <c r="A77" i="3"/>
  <c r="C76" i="3"/>
  <c r="B76" i="3"/>
  <c r="A76" i="3"/>
  <c r="C75" i="3"/>
  <c r="B75" i="3"/>
  <c r="A75" i="3"/>
  <c r="C74" i="3"/>
  <c r="B74" i="3"/>
  <c r="A74" i="3"/>
  <c r="C73" i="3"/>
  <c r="B73" i="3"/>
  <c r="A73" i="3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B65" i="3"/>
  <c r="A65" i="3"/>
  <c r="C64" i="3"/>
  <c r="B64" i="3"/>
  <c r="A64" i="3"/>
  <c r="C63" i="3"/>
  <c r="B63" i="3"/>
  <c r="A63" i="3"/>
  <c r="C62" i="3"/>
  <c r="B62" i="3"/>
  <c r="A62" i="3"/>
  <c r="C61" i="3"/>
  <c r="B61" i="3"/>
  <c r="A61" i="3"/>
  <c r="C60" i="3"/>
  <c r="B60" i="3"/>
  <c r="A60" i="3"/>
  <c r="C59" i="3"/>
  <c r="B59" i="3"/>
  <c r="A59" i="3"/>
  <c r="C58" i="3"/>
  <c r="B58" i="3"/>
  <c r="A58" i="3"/>
  <c r="C57" i="3"/>
  <c r="B57" i="3"/>
  <c r="A57" i="3"/>
  <c r="C56" i="3"/>
  <c r="B56" i="3"/>
  <c r="A56" i="3"/>
  <c r="C55" i="3"/>
  <c r="B55" i="3"/>
  <c r="A55" i="3"/>
  <c r="C54" i="3"/>
  <c r="B54" i="3"/>
  <c r="A54" i="3"/>
  <c r="C53" i="3"/>
  <c r="B53" i="3"/>
  <c r="A53" i="3"/>
  <c r="C52" i="3"/>
  <c r="B52" i="3"/>
  <c r="A52" i="3"/>
  <c r="C51" i="3"/>
  <c r="B51" i="3"/>
  <c r="A51" i="3"/>
  <c r="C50" i="3"/>
  <c r="B50" i="3"/>
  <c r="A50" i="3"/>
  <c r="C49" i="3"/>
  <c r="B49" i="3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A41" i="3"/>
  <c r="C40" i="3"/>
  <c r="B40" i="3"/>
  <c r="A40" i="3"/>
  <c r="C39" i="3"/>
  <c r="B39" i="3"/>
  <c r="A39" i="3"/>
  <c r="C38" i="3"/>
  <c r="B38" i="3"/>
  <c r="A38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<sst xmlns="http://schemas.openxmlformats.org/spreadsheetml/2006/main" count="381" uniqueCount="115">
  <si>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</si>
  <si>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</si>
  <si>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</si>
  <si>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</si>
  <si>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</si>
  <si>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</si>
  <si>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</si>
  <si>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</si>
  <si>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</si>
  <si>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</si>
  <si>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</si>
  <si>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</si>
  <si>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</si>
  <si>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</si>
  <si>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</si>
  <si>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</si>
  <si>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</si>
  <si>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</si>
  <si>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</si>
  <si>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Link to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</si>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</sst>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1231900</xdr:colOff>
          <xdr:row>1</xdr:row>
          <xdr:rowOff>25400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Learning Outcome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</xdr:row>
          <xdr:rowOff>12700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812800</xdr:colOff>
          <xdr:row>4</xdr:row>
          <xdr:rowOff>165100</xdr:rowOff>
        </xdr:from>
        <xdr:to>
          <xdr:col>4</xdr:col>
          <xdr:colOff>63500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38100</xdr:rowOff>
        </xdr:from>
        <xdr:to>
          <xdr:col>8</xdr:col>
          <xdr:colOff>25400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8</xdr:col>
          <xdr:colOff>25400</xdr:colOff>
          <xdr:row>3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177800</xdr:rowOff>
        </xdr:from>
        <xdr:to>
          <xdr:col>8</xdr:col>
          <xdr:colOff>12700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50"/>
  <sheetViews>
    <sheetView tabSelected="1" workbookViewId="0">
      <selection activeCell="B2" sqref="B2"/>
    </sheetView>
  </sheetViews>
  <sheetFormatPr baseColWidth="10" defaultRowHeight="15" x14ac:dyDescent="0"/>
  <cols>
    <col min="2" max="2" width="52.1640625" customWidth="1"/>
    <col min="3" max="3" width="43.6640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  <row r="49" spans="1:4">
      <c r="A49" s="4"/>
      <c r="B49" s="3"/>
      <c r="C49" s="5"/>
      <c r="D49" s="5"/>
    </row>
    <row r="50" spans="1:4">
      <c r="A50" s="4"/>
      <c r="B50" s="3"/>
      <c r="C50" s="5"/>
      <c r="D50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1231900</xdr:colOff>
                    <xdr:row>1</xdr:row>
                    <xdr:rowOff>25400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E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31">
      <c r="A1" s="1" t="s">
        <v>9</v>
      </c>
      <c r="AB1" s="2" t="s">
        <v>23</v>
      </c>
      <c r="AD1" t="s">
        <v>80</v>
      </c>
      <c r="AE1" s="12">
        <f>COUNTIF(E6:Z6,"*")</f>
        <v>0</v>
      </c>
    </row>
    <row r="2" spans="1:31">
      <c r="A2" t="s">
        <v>0</v>
      </c>
      <c r="B2" t="str">
        <f>CONCATENATE(LO!B2," (",LO!B4,")")</f>
        <v xml:space="preserve"> ()</v>
      </c>
      <c r="AB2" t="s">
        <v>20</v>
      </c>
      <c r="AD2" t="s">
        <v>81</v>
      </c>
      <c r="AE2" s="12">
        <f>COUNTIF(A10:A100,"*")</f>
        <v>28</v>
      </c>
    </row>
    <row r="3" spans="1:31">
      <c r="A3" t="s">
        <v>1</v>
      </c>
      <c r="B3">
        <f>LO!B3</f>
        <v>0</v>
      </c>
      <c r="AB3" t="s">
        <v>21</v>
      </c>
    </row>
    <row r="4" spans="1:31">
      <c r="AB4" t="s">
        <v>22</v>
      </c>
    </row>
    <row r="6" spans="1:31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31">
      <c r="A7" s="1" t="s">
        <v>14</v>
      </c>
      <c r="B7" s="1" t="s">
        <v>14</v>
      </c>
      <c r="C7" s="1" t="s">
        <v>15</v>
      </c>
      <c r="D7" s="7">
        <f>SUM(E7:Z7)</f>
        <v>0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31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  <c r="X8" s="8" t="str">
        <f>IF(X$9="One",One!$D7,IF(X$9="Two",Two!$D7,IF(X$9="Three",Three!$D7,"")))</f>
        <v/>
      </c>
      <c r="Y8" s="8" t="str">
        <f>IF(Y$9="One",One!$D7,IF(Y$9="Two",Two!$D7,IF(Y$9="Three",Three!$D7,"")))</f>
        <v/>
      </c>
      <c r="Z8" s="8" t="str">
        <f>IF(Z$9="One",One!$D7,IF(Z$9="Two",Two!$D7,IF(Z$9="Three",Three!$D7,"")))</f>
        <v/>
      </c>
    </row>
    <row r="9" spans="1:31">
      <c r="D9" s="11" t="s">
        <v>19</v>
      </c>
      <c r="E9" s="6" t="s">
        <v>23</v>
      </c>
      <c r="F9" s="6" t="s">
        <v>23</v>
      </c>
      <c r="G9" s="6" t="s">
        <v>23</v>
      </c>
      <c r="H9" s="6" t="s">
        <v>23</v>
      </c>
      <c r="I9" s="6" t="s">
        <v>23</v>
      </c>
      <c r="J9" s="6" t="s">
        <v>23</v>
      </c>
      <c r="K9" s="6" t="s">
        <v>23</v>
      </c>
      <c r="L9" s="6" t="s">
        <v>23</v>
      </c>
      <c r="M9" s="6" t="s">
        <v>23</v>
      </c>
      <c r="N9" s="6" t="s">
        <v>23</v>
      </c>
      <c r="O9" s="6" t="s">
        <v>23</v>
      </c>
      <c r="P9" s="6" t="s">
        <v>23</v>
      </c>
      <c r="Q9" s="6" t="s">
        <v>23</v>
      </c>
      <c r="R9" s="6" t="s">
        <v>23</v>
      </c>
      <c r="S9" s="6" t="s">
        <v>23</v>
      </c>
      <c r="T9" s="6" t="s">
        <v>23</v>
      </c>
      <c r="U9" s="6" t="s">
        <v>23</v>
      </c>
      <c r="V9" s="6" t="s">
        <v>23</v>
      </c>
      <c r="W9" s="6" t="s">
        <v>23</v>
      </c>
      <c r="X9" s="6" t="s">
        <v>23</v>
      </c>
      <c r="Y9" s="6" t="s">
        <v>23</v>
      </c>
      <c r="Z9" s="6" t="s">
        <v>23</v>
      </c>
    </row>
    <row r="10" spans="1:31">
      <c r="A10" t="s">
        <v>24</v>
      </c>
      <c r="B10" t="s">
        <v>25</v>
      </c>
      <c r="C10" s="12">
        <v>35680162</v>
      </c>
      <c r="D10" s="14"/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  <c r="X10" s="13" t="str">
        <f>IF(X$9="One",One!$D10,IF(X$9="Two",Two!$D10,IF(X$9="Three",Three!$D10,"")))</f>
        <v/>
      </c>
      <c r="Y10" s="13" t="str">
        <f>IF(Y$9="One",One!$D10,IF(Y$9="Two",Two!$D10,IF(Y$9="Three",Three!$D10,"")))</f>
        <v/>
      </c>
      <c r="Z10" s="13" t="str">
        <f>IF(Z$9="One",One!$D10,IF(Z$9="Two",Two!$D10,IF(Z$9="Three",Three!$D10,"")))</f>
        <v/>
      </c>
    </row>
    <row r="11" spans="1:31">
      <c r="A11" t="s">
        <v>26</v>
      </c>
      <c r="B11" t="s">
        <v>27</v>
      </c>
      <c r="C11" s="12">
        <v>48998132</v>
      </c>
      <c r="D11" s="14"/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  <c r="X11" s="13" t="str">
        <f>IF(X$9="One",One!$D11,IF(X$9="Two",Two!$D11,IF(X$9="Three",Three!$D11,"")))</f>
        <v/>
      </c>
      <c r="Y11" s="13" t="str">
        <f>IF(Y$9="One",One!$D11,IF(Y$9="Two",Two!$D11,IF(Y$9="Three",Three!$D11,"")))</f>
        <v/>
      </c>
      <c r="Z11" s="13" t="str">
        <f>IF(Z$9="One",One!$D11,IF(Z$9="Two",Two!$D11,IF(Z$9="Three",Three!$D11,"")))</f>
        <v/>
      </c>
    </row>
    <row r="12" spans="1:31">
      <c r="A12" t="s">
        <v>28</v>
      </c>
      <c r="B12" t="s">
        <v>29</v>
      </c>
      <c r="C12" s="12">
        <v>77896340</v>
      </c>
      <c r="D12" s="14"/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  <c r="X12" s="13" t="str">
        <f>IF(X$9="One",One!$D12,IF(X$9="Two",Two!$D12,IF(X$9="Three",Three!$D12,"")))</f>
        <v/>
      </c>
      <c r="Y12" s="13" t="str">
        <f>IF(Y$9="One",One!$D12,IF(Y$9="Two",Two!$D12,IF(Y$9="Three",Three!$D12,"")))</f>
        <v/>
      </c>
      <c r="Z12" s="13" t="str">
        <f>IF(Z$9="One",One!$D12,IF(Z$9="Two",Two!$D12,IF(Z$9="Three",Three!$D12,"")))</f>
        <v/>
      </c>
    </row>
    <row r="13" spans="1:31">
      <c r="A13" t="s">
        <v>30</v>
      </c>
      <c r="B13" t="s">
        <v>31</v>
      </c>
      <c r="C13" s="12">
        <v>10472860</v>
      </c>
      <c r="D13" s="14"/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  <c r="X13" s="13" t="str">
        <f>IF(X$9="One",One!$D13,IF(X$9="Two",Two!$D13,IF(X$9="Three",Three!$D13,"")))</f>
        <v/>
      </c>
      <c r="Y13" s="13" t="str">
        <f>IF(Y$9="One",One!$D13,IF(Y$9="Two",Two!$D13,IF(Y$9="Three",Three!$D13,"")))</f>
        <v/>
      </c>
      <c r="Z13" s="13" t="str">
        <f>IF(Z$9="One",One!$D13,IF(Z$9="Two",Two!$D13,IF(Z$9="Three",Three!$D13,"")))</f>
        <v/>
      </c>
    </row>
    <row r="14" spans="1:31">
      <c r="A14" t="s">
        <v>32</v>
      </c>
      <c r="B14" t="s">
        <v>33</v>
      </c>
      <c r="C14" s="12">
        <v>97458323</v>
      </c>
      <c r="D14" s="14"/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  <c r="X14" s="13" t="str">
        <f>IF(X$9="One",One!$D14,IF(X$9="Two",Two!$D14,IF(X$9="Three",Three!$D14,"")))</f>
        <v/>
      </c>
      <c r="Y14" s="13" t="str">
        <f>IF(Y$9="One",One!$D14,IF(Y$9="Two",Two!$D14,IF(Y$9="Three",Three!$D14,"")))</f>
        <v/>
      </c>
      <c r="Z14" s="13" t="str">
        <f>IF(Z$9="One",One!$D14,IF(Z$9="Two",Two!$D14,IF(Z$9="Three",Three!$D14,"")))</f>
        <v/>
      </c>
    </row>
    <row r="15" spans="1:31">
      <c r="A15" t="s">
        <v>34</v>
      </c>
      <c r="B15" t="s">
        <v>35</v>
      </c>
      <c r="C15" s="12">
        <v>54710323</v>
      </c>
      <c r="D15" s="14"/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  <c r="X15" s="13" t="str">
        <f>IF(X$9="One",One!$D15,IF(X$9="Two",Two!$D15,IF(X$9="Three",Three!$D15,"")))</f>
        <v/>
      </c>
      <c r="Y15" s="13" t="str">
        <f>IF(Y$9="One",One!$D15,IF(Y$9="Two",Two!$D15,IF(Y$9="Three",Three!$D15,"")))</f>
        <v/>
      </c>
      <c r="Z15" s="13" t="str">
        <f>IF(Z$9="One",One!$D15,IF(Z$9="Two",Two!$D15,IF(Z$9="Three",Three!$D15,"")))</f>
        <v/>
      </c>
    </row>
    <row r="16" spans="1:31">
      <c r="A16" t="s">
        <v>36</v>
      </c>
      <c r="B16" t="s">
        <v>37</v>
      </c>
      <c r="C16" s="12">
        <v>57528013</v>
      </c>
      <c r="D16" s="14"/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  <c r="X16" s="13" t="str">
        <f>IF(X$9="One",One!$D16,IF(X$9="Two",Two!$D16,IF(X$9="Three",Three!$D16,"")))</f>
        <v/>
      </c>
      <c r="Y16" s="13" t="str">
        <f>IF(Y$9="One",One!$D16,IF(Y$9="Two",Two!$D16,IF(Y$9="Three",Three!$D16,"")))</f>
        <v/>
      </c>
      <c r="Z16" s="13" t="str">
        <f>IF(Z$9="One",One!$D16,IF(Z$9="Two",Two!$D16,IF(Z$9="Three",Three!$D16,"")))</f>
        <v/>
      </c>
    </row>
    <row r="17" spans="1:26">
      <c r="A17" t="s">
        <v>38</v>
      </c>
      <c r="B17" t="s">
        <v>39</v>
      </c>
      <c r="C17" s="12">
        <v>46076400</v>
      </c>
      <c r="D17" s="14"/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  <c r="X17" s="13" t="str">
        <f>IF(X$9="One",One!$D17,IF(X$9="Two",Two!$D17,IF(X$9="Three",Three!$D17,"")))</f>
        <v/>
      </c>
      <c r="Y17" s="13" t="str">
        <f>IF(Y$9="One",One!$D17,IF(Y$9="Two",Two!$D17,IF(Y$9="Three",Three!$D17,"")))</f>
        <v/>
      </c>
      <c r="Z17" s="13" t="str">
        <f>IF(Z$9="One",One!$D17,IF(Z$9="Two",Two!$D17,IF(Z$9="Three",Three!$D17,"")))</f>
        <v/>
      </c>
    </row>
    <row r="18" spans="1:26">
      <c r="A18" t="s">
        <v>40</v>
      </c>
      <c r="B18" t="s">
        <v>41</v>
      </c>
      <c r="C18" s="12">
        <v>68224023</v>
      </c>
      <c r="D18" s="14"/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  <c r="X18" s="13" t="str">
        <f>IF(X$9="One",One!$D18,IF(X$9="Two",Two!$D18,IF(X$9="Three",Three!$D18,"")))</f>
        <v/>
      </c>
      <c r="Y18" s="13" t="str">
        <f>IF(Y$9="One",One!$D18,IF(Y$9="Two",Two!$D18,IF(Y$9="Three",Three!$D18,"")))</f>
        <v/>
      </c>
      <c r="Z18" s="13" t="str">
        <f>IF(Z$9="One",One!$D18,IF(Z$9="Two",Two!$D18,IF(Z$9="Three",Three!$D18,"")))</f>
        <v/>
      </c>
    </row>
    <row r="19" spans="1:26">
      <c r="A19" t="s">
        <v>42</v>
      </c>
      <c r="B19" t="s">
        <v>43</v>
      </c>
      <c r="C19" s="12">
        <v>44898071</v>
      </c>
      <c r="D19" s="14"/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  <c r="X19" s="13" t="str">
        <f>IF(X$9="One",One!$D19,IF(X$9="Two",Two!$D19,IF(X$9="Three",Three!$D19,"")))</f>
        <v/>
      </c>
      <c r="Y19" s="13" t="str">
        <f>IF(Y$9="One",One!$D19,IF(Y$9="Two",Two!$D19,IF(Y$9="Three",Three!$D19,"")))</f>
        <v/>
      </c>
      <c r="Z19" s="13" t="str">
        <f>IF(Z$9="One",One!$D19,IF(Z$9="Two",Two!$D19,IF(Z$9="Three",Three!$D19,"")))</f>
        <v/>
      </c>
    </row>
    <row r="20" spans="1:26">
      <c r="A20" t="s">
        <v>44</v>
      </c>
      <c r="B20" t="s">
        <v>45</v>
      </c>
      <c r="C20" s="12">
        <v>61782509</v>
      </c>
      <c r="D20" s="14"/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  <c r="X20" s="13" t="str">
        <f>IF(X$9="One",One!$D20,IF(X$9="Two",Two!$D20,IF(X$9="Three",Three!$D20,"")))</f>
        <v/>
      </c>
      <c r="Y20" s="13" t="str">
        <f>IF(Y$9="One",One!$D20,IF(Y$9="Two",Two!$D20,IF(Y$9="Three",Three!$D20,"")))</f>
        <v/>
      </c>
      <c r="Z20" s="13" t="str">
        <f>IF(Z$9="One",One!$D20,IF(Z$9="Two",Two!$D20,IF(Z$9="Three",Three!$D20,"")))</f>
        <v/>
      </c>
    </row>
    <row r="21" spans="1:26">
      <c r="A21" t="s">
        <v>46</v>
      </c>
      <c r="B21" t="s">
        <v>47</v>
      </c>
      <c r="C21" s="12">
        <v>4197486</v>
      </c>
      <c r="D21" s="14"/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  <c r="X21" s="13" t="str">
        <f>IF(X$9="One",One!$D21,IF(X$9="Two",Two!$D21,IF(X$9="Three",Three!$D21,"")))</f>
        <v/>
      </c>
      <c r="Y21" s="13" t="str">
        <f>IF(Y$9="One",One!$D21,IF(Y$9="Two",Two!$D21,IF(Y$9="Three",Three!$D21,"")))</f>
        <v/>
      </c>
      <c r="Z21" s="13" t="str">
        <f>IF(Z$9="One",One!$D21,IF(Z$9="Two",Two!$D21,IF(Z$9="Three",Three!$D21,"")))</f>
        <v/>
      </c>
    </row>
    <row r="22" spans="1:26">
      <c r="A22" t="s">
        <v>48</v>
      </c>
      <c r="B22" t="s">
        <v>49</v>
      </c>
      <c r="C22" s="12">
        <v>51295906</v>
      </c>
      <c r="D22" s="14"/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  <c r="X22" s="13" t="str">
        <f>IF(X$9="One",One!$D22,IF(X$9="Two",Two!$D22,IF(X$9="Three",Three!$D22,"")))</f>
        <v/>
      </c>
      <c r="Y22" s="13" t="str">
        <f>IF(Y$9="One",One!$D22,IF(Y$9="Two",Two!$D22,IF(Y$9="Three",Three!$D22,"")))</f>
        <v/>
      </c>
      <c r="Z22" s="13" t="str">
        <f>IF(Z$9="One",One!$D22,IF(Z$9="Two",Two!$D22,IF(Z$9="Three",Three!$D22,"")))</f>
        <v/>
      </c>
    </row>
    <row r="23" spans="1:26">
      <c r="A23" t="s">
        <v>50</v>
      </c>
      <c r="B23" t="s">
        <v>51</v>
      </c>
      <c r="C23" s="12">
        <v>19839573</v>
      </c>
      <c r="D23" s="14"/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  <c r="X23" s="13" t="str">
        <f>IF(X$9="One",One!$D23,IF(X$9="Two",Two!$D23,IF(X$9="Three",Three!$D23,"")))</f>
        <v/>
      </c>
      <c r="Y23" s="13" t="str">
        <f>IF(Y$9="One",One!$D23,IF(Y$9="Two",Two!$D23,IF(Y$9="Three",Three!$D23,"")))</f>
        <v/>
      </c>
      <c r="Z23" s="13" t="str">
        <f>IF(Z$9="One",One!$D23,IF(Z$9="Two",Two!$D23,IF(Z$9="Three",Three!$D23,"")))</f>
        <v/>
      </c>
    </row>
    <row r="24" spans="1:26">
      <c r="A24" t="s">
        <v>52</v>
      </c>
      <c r="B24" t="s">
        <v>53</v>
      </c>
      <c r="C24" s="12">
        <v>54905777</v>
      </c>
      <c r="D24" s="14"/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  <c r="X24" s="13" t="str">
        <f>IF(X$9="One",One!$D24,IF(X$9="Two",Two!$D24,IF(X$9="Three",Three!$D24,"")))</f>
        <v/>
      </c>
      <c r="Y24" s="13" t="str">
        <f>IF(Y$9="One",One!$D24,IF(Y$9="Two",Two!$D24,IF(Y$9="Three",Three!$D24,"")))</f>
        <v/>
      </c>
      <c r="Z24" s="13" t="str">
        <f>IF(Z$9="One",One!$D24,IF(Z$9="Two",Two!$D24,IF(Z$9="Three",Three!$D24,"")))</f>
        <v/>
      </c>
    </row>
    <row r="25" spans="1:26">
      <c r="A25" t="s">
        <v>54</v>
      </c>
      <c r="B25" t="s">
        <v>55</v>
      </c>
      <c r="C25" s="12">
        <v>82030077</v>
      </c>
      <c r="D25" s="14"/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  <c r="X25" s="13" t="str">
        <f>IF(X$9="One",One!$D25,IF(X$9="Two",Two!$D25,IF(X$9="Three",Three!$D25,"")))</f>
        <v/>
      </c>
      <c r="Y25" s="13" t="str">
        <f>IF(Y$9="One",One!$D25,IF(Y$9="Two",Two!$D25,IF(Y$9="Three",Three!$D25,"")))</f>
        <v/>
      </c>
      <c r="Z25" s="13" t="str">
        <f>IF(Z$9="One",One!$D25,IF(Z$9="Two",Two!$D25,IF(Z$9="Three",Three!$D25,"")))</f>
        <v/>
      </c>
    </row>
    <row r="26" spans="1:26">
      <c r="A26" t="s">
        <v>56</v>
      </c>
      <c r="B26" t="s">
        <v>57</v>
      </c>
      <c r="C26" s="12">
        <v>59206627</v>
      </c>
      <c r="D26" s="14"/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  <c r="X26" s="13" t="str">
        <f>IF(X$9="One",One!$D26,IF(X$9="Two",Two!$D26,IF(X$9="Three",Three!$D26,"")))</f>
        <v/>
      </c>
      <c r="Y26" s="13" t="str">
        <f>IF(Y$9="One",One!$D26,IF(Y$9="Two",Two!$D26,IF(Y$9="Three",Three!$D26,"")))</f>
        <v/>
      </c>
      <c r="Z26" s="13" t="str">
        <f>IF(Z$9="One",One!$D26,IF(Z$9="Two",Two!$D26,IF(Z$9="Three",Three!$D26,"")))</f>
        <v/>
      </c>
    </row>
    <row r="27" spans="1:26">
      <c r="A27" t="s">
        <v>58</v>
      </c>
      <c r="B27" t="s">
        <v>59</v>
      </c>
      <c r="C27" s="12">
        <v>26646083</v>
      </c>
      <c r="D27" s="14"/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  <c r="X27" s="13" t="str">
        <f>IF(X$9="One",One!$D27,IF(X$9="Two",Two!$D27,IF(X$9="Three",Three!$D27,"")))</f>
        <v/>
      </c>
      <c r="Y27" s="13" t="str">
        <f>IF(Y$9="One",One!$D27,IF(Y$9="Two",Two!$D27,IF(Y$9="Three",Three!$D27,"")))</f>
        <v/>
      </c>
      <c r="Z27" s="13" t="str">
        <f>IF(Z$9="One",One!$D27,IF(Z$9="Two",Two!$D27,IF(Z$9="Three",Three!$D27,"")))</f>
        <v/>
      </c>
    </row>
    <row r="28" spans="1:26">
      <c r="A28" t="s">
        <v>60</v>
      </c>
      <c r="B28" t="s">
        <v>61</v>
      </c>
      <c r="C28" s="12">
        <v>10749714</v>
      </c>
      <c r="D28" s="14"/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  <c r="X28" s="13" t="str">
        <f>IF(X$9="One",One!$D28,IF(X$9="Two",Two!$D28,IF(X$9="Three",Three!$D28,"")))</f>
        <v/>
      </c>
      <c r="Y28" s="13" t="str">
        <f>IF(Y$9="One",One!$D28,IF(Y$9="Two",Two!$D28,IF(Y$9="Three",Three!$D28,"")))</f>
        <v/>
      </c>
      <c r="Z28" s="13" t="str">
        <f>IF(Z$9="One",One!$D28,IF(Z$9="Two",Two!$D28,IF(Z$9="Three",Three!$D28,"")))</f>
        <v/>
      </c>
    </row>
    <row r="29" spans="1:26">
      <c r="A29" t="s">
        <v>62</v>
      </c>
      <c r="B29" t="s">
        <v>63</v>
      </c>
      <c r="C29" s="12">
        <v>23994145</v>
      </c>
      <c r="D29" s="14"/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  <c r="X29" s="13" t="str">
        <f>IF(X$9="One",One!$D29,IF(X$9="Two",Two!$D29,IF(X$9="Three",Three!$D29,"")))</f>
        <v/>
      </c>
      <c r="Y29" s="13" t="str">
        <f>IF(Y$9="One",One!$D29,IF(Y$9="Two",Two!$D29,IF(Y$9="Three",Three!$D29,"")))</f>
        <v/>
      </c>
      <c r="Z29" s="13" t="str">
        <f>IF(Z$9="One",One!$D29,IF(Z$9="Two",Two!$D29,IF(Z$9="Three",Three!$D29,"")))</f>
        <v/>
      </c>
    </row>
    <row r="30" spans="1:26">
      <c r="A30" t="s">
        <v>64</v>
      </c>
      <c r="B30" t="s">
        <v>65</v>
      </c>
      <c r="C30" s="12">
        <v>61955455</v>
      </c>
      <c r="D30" s="14"/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  <c r="X30" s="13" t="str">
        <f>IF(X$9="One",One!$D30,IF(X$9="Two",Two!$D30,IF(X$9="Three",Three!$D30,"")))</f>
        <v/>
      </c>
      <c r="Y30" s="13" t="str">
        <f>IF(Y$9="One",One!$D30,IF(Y$9="Two",Two!$D30,IF(Y$9="Three",Three!$D30,"")))</f>
        <v/>
      </c>
      <c r="Z30" s="13" t="str">
        <f>IF(Z$9="One",One!$D30,IF(Z$9="Two",Two!$D30,IF(Z$9="Three",Three!$D30,"")))</f>
        <v/>
      </c>
    </row>
    <row r="31" spans="1:26">
      <c r="A31" t="s">
        <v>66</v>
      </c>
      <c r="B31" t="s">
        <v>67</v>
      </c>
      <c r="C31" s="12">
        <v>21290182</v>
      </c>
      <c r="D31" s="14"/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  <c r="X31" s="13" t="str">
        <f>IF(X$9="One",One!$D31,IF(X$9="Two",Two!$D31,IF(X$9="Three",Three!$D31,"")))</f>
        <v/>
      </c>
      <c r="Y31" s="13" t="str">
        <f>IF(Y$9="One",One!$D31,IF(Y$9="Two",Two!$D31,IF(Y$9="Three",Three!$D31,"")))</f>
        <v/>
      </c>
      <c r="Z31" s="13" t="str">
        <f>IF(Z$9="One",One!$D31,IF(Z$9="Two",Two!$D31,IF(Z$9="Three",Three!$D31,"")))</f>
        <v/>
      </c>
    </row>
    <row r="32" spans="1:26">
      <c r="A32" t="s">
        <v>68</v>
      </c>
      <c r="B32" t="s">
        <v>69</v>
      </c>
      <c r="C32" s="12">
        <v>5565200</v>
      </c>
      <c r="D32" s="14"/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  <c r="X32" s="13" t="str">
        <f>IF(X$9="One",One!$D32,IF(X$9="Two",Two!$D32,IF(X$9="Three",Three!$D32,"")))</f>
        <v/>
      </c>
      <c r="Y32" s="13" t="str">
        <f>IF(Y$9="One",One!$D32,IF(Y$9="Two",Two!$D32,IF(Y$9="Three",Three!$D32,"")))</f>
        <v/>
      </c>
      <c r="Z32" s="13" t="str">
        <f>IF(Z$9="One",One!$D32,IF(Z$9="Two",Two!$D32,IF(Z$9="Three",Three!$D32,"")))</f>
        <v/>
      </c>
    </row>
    <row r="33" spans="1:26">
      <c r="A33" t="s">
        <v>70</v>
      </c>
      <c r="B33" t="s">
        <v>71</v>
      </c>
      <c r="C33" s="12">
        <v>13812850</v>
      </c>
      <c r="D33" s="14"/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  <c r="X33" s="13" t="str">
        <f>IF(X$9="One",One!$D33,IF(X$9="Two",Two!$D33,IF(X$9="Three",Three!$D33,"")))</f>
        <v/>
      </c>
      <c r="Y33" s="13" t="str">
        <f>IF(Y$9="One",One!$D33,IF(Y$9="Two",Two!$D33,IF(Y$9="Three",Three!$D33,"")))</f>
        <v/>
      </c>
      <c r="Z33" s="13" t="str">
        <f>IF(Z$9="One",One!$D33,IF(Z$9="Two",Two!$D33,IF(Z$9="Three",Three!$D33,"")))</f>
        <v/>
      </c>
    </row>
    <row r="34" spans="1:26">
      <c r="A34" t="s">
        <v>72</v>
      </c>
      <c r="B34" t="s">
        <v>73</v>
      </c>
      <c r="C34" s="12">
        <v>39654039</v>
      </c>
      <c r="D34" s="14"/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  <c r="X34" s="13" t="str">
        <f>IF(X$9="One",One!$D34,IF(X$9="Two",Two!$D34,IF(X$9="Three",Three!$D34,"")))</f>
        <v/>
      </c>
      <c r="Y34" s="13" t="str">
        <f>IF(Y$9="One",One!$D34,IF(Y$9="Two",Two!$D34,IF(Y$9="Three",Three!$D34,"")))</f>
        <v/>
      </c>
      <c r="Z34" s="13" t="str">
        <f>IF(Z$9="One",One!$D34,IF(Z$9="Two",Two!$D34,IF(Z$9="Three",Three!$D34,"")))</f>
        <v/>
      </c>
    </row>
    <row r="35" spans="1:26">
      <c r="A35" t="s">
        <v>74</v>
      </c>
      <c r="B35" t="s">
        <v>75</v>
      </c>
      <c r="C35" s="12">
        <v>15886570</v>
      </c>
      <c r="D35" s="14"/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  <c r="X35" s="13" t="str">
        <f>IF(X$9="One",One!$D35,IF(X$9="Two",Two!$D35,IF(X$9="Three",Three!$D35,"")))</f>
        <v/>
      </c>
      <c r="Y35" s="13" t="str">
        <f>IF(Y$9="One",One!$D35,IF(Y$9="Two",Two!$D35,IF(Y$9="Three",Three!$D35,"")))</f>
        <v/>
      </c>
      <c r="Z35" s="13" t="str">
        <f>IF(Z$9="One",One!$D35,IF(Z$9="Two",Two!$D35,IF(Z$9="Three",Three!$D35,"")))</f>
        <v/>
      </c>
    </row>
    <row r="36" spans="1:26">
      <c r="A36" t="s">
        <v>76</v>
      </c>
      <c r="B36" t="s">
        <v>77</v>
      </c>
      <c r="C36" s="12">
        <v>15162223</v>
      </c>
      <c r="D36" s="14"/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  <c r="X36" s="13" t="str">
        <f>IF(X$9="One",One!$D36,IF(X$9="Two",Two!$D36,IF(X$9="Three",Three!$D36,"")))</f>
        <v/>
      </c>
      <c r="Y36" s="13" t="str">
        <f>IF(Y$9="One",One!$D36,IF(Y$9="Two",Two!$D36,IF(Y$9="Three",Three!$D36,"")))</f>
        <v/>
      </c>
      <c r="Z36" s="13" t="str">
        <f>IF(Z$9="One",One!$D36,IF(Z$9="Two",Two!$D36,IF(Z$9="Three",Three!$D36,"")))</f>
        <v/>
      </c>
    </row>
    <row r="37" spans="1:26">
      <c r="A37" t="s">
        <v>78</v>
      </c>
      <c r="B37" t="s">
        <v>79</v>
      </c>
      <c r="C37" s="12">
        <v>6694126</v>
      </c>
      <c r="D37" s="14"/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  <c r="X37" s="13" t="str">
        <f>IF(X$9="One",One!$D37,IF(X$9="Two",Two!$D37,IF(X$9="Three",Three!$D37,"")))</f>
        <v/>
      </c>
      <c r="Y37" s="13" t="str">
        <f>IF(Y$9="One",One!$D37,IF(Y$9="Two",Two!$D37,IF(Y$9="Three",Three!$D37,"")))</f>
        <v/>
      </c>
      <c r="Z37" s="13" t="str">
        <f>IF(Z$9="One",One!$D37,IF(Z$9="Two",Two!$D37,IF(Z$9="Three",Three!$D37,"")))</f>
        <v/>
      </c>
    </row>
    <row r="38" spans="1:26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  <c r="X38" s="13" t="str">
        <f>IF(X$9="One",One!$D38,IF(X$9="Two",Two!$D38,IF(X$9="Three",Three!$D38,"")))</f>
        <v/>
      </c>
      <c r="Y38" s="13" t="str">
        <f>IF(Y$9="One",One!$D38,IF(Y$9="Two",Two!$D38,IF(Y$9="Three",Three!$D38,"")))</f>
        <v/>
      </c>
      <c r="Z38" s="13" t="str">
        <f>IF(Z$9="One",One!$D38,IF(Z$9="Two",Two!$D38,IF(Z$9="Three",Three!$D38,"")))</f>
        <v/>
      </c>
    </row>
    <row r="39" spans="1:26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  <c r="X39" s="13" t="str">
        <f>IF(X$9="One",One!$D39,IF(X$9="Two",Two!$D39,IF(X$9="Three",Three!$D39,"")))</f>
        <v/>
      </c>
      <c r="Y39" s="13" t="str">
        <f>IF(Y$9="One",One!$D39,IF(Y$9="Two",Two!$D39,IF(Y$9="Three",Three!$D39,"")))</f>
        <v/>
      </c>
      <c r="Z39" s="13" t="str">
        <f>IF(Z$9="One",One!$D39,IF(Z$9="Two",Two!$D39,IF(Z$9="Three",Three!$D39,"")))</f>
        <v/>
      </c>
    </row>
    <row r="40" spans="1:26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  <c r="X40" s="13" t="str">
        <f>IF(X$9="One",One!$D40,IF(X$9="Two",Two!$D40,IF(X$9="Three",Three!$D40,"")))</f>
        <v/>
      </c>
      <c r="Y40" s="13" t="str">
        <f>IF(Y$9="One",One!$D40,IF(Y$9="Two",Two!$D40,IF(Y$9="Three",Three!$D40,"")))</f>
        <v/>
      </c>
      <c r="Z40" s="13" t="str">
        <f>IF(Z$9="One",One!$D40,IF(Z$9="Two",Two!$D40,IF(Z$9="Three",Three!$D40,"")))</f>
        <v/>
      </c>
    </row>
    <row r="41" spans="1:26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  <c r="X41" s="13" t="str">
        <f>IF(X$9="One",One!$D41,IF(X$9="Two",Two!$D41,IF(X$9="Three",Three!$D41,"")))</f>
        <v/>
      </c>
      <c r="Y41" s="13" t="str">
        <f>IF(Y$9="One",One!$D41,IF(Y$9="Two",Two!$D41,IF(Y$9="Three",Three!$D41,"")))</f>
        <v/>
      </c>
      <c r="Z41" s="13" t="str">
        <f>IF(Z$9="One",One!$D41,IF(Z$9="Two",Two!$D41,IF(Z$9="Three",Three!$D41,"")))</f>
        <v/>
      </c>
    </row>
    <row r="42" spans="1:26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  <c r="X42" s="13" t="str">
        <f>IF(X$9="One",One!$D42,IF(X$9="Two",Two!$D42,IF(X$9="Three",Three!$D42,"")))</f>
        <v/>
      </c>
      <c r="Y42" s="13" t="str">
        <f>IF(Y$9="One",One!$D42,IF(Y$9="Two",Two!$D42,IF(Y$9="Three",Three!$D42,"")))</f>
        <v/>
      </c>
      <c r="Z42" s="13" t="str">
        <f>IF(Z$9="One",One!$D42,IF(Z$9="Two",Two!$D42,IF(Z$9="Three",Three!$D42,"")))</f>
        <v/>
      </c>
    </row>
    <row r="43" spans="1:26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  <c r="X43" s="13" t="str">
        <f>IF(X$9="One",One!$D43,IF(X$9="Two",Two!$D43,IF(X$9="Three",Three!$D43,"")))</f>
        <v/>
      </c>
      <c r="Y43" s="13" t="str">
        <f>IF(Y$9="One",One!$D43,IF(Y$9="Two",Two!$D43,IF(Y$9="Three",Three!$D43,"")))</f>
        <v/>
      </c>
      <c r="Z43" s="13" t="str">
        <f>IF(Z$9="One",One!$D43,IF(Z$9="Two",Two!$D43,IF(Z$9="Three",Three!$D43,"")))</f>
        <v/>
      </c>
    </row>
    <row r="44" spans="1:26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  <c r="X44" s="13" t="str">
        <f>IF(X$9="One",One!$D44,IF(X$9="Two",Two!$D44,IF(X$9="Three",Three!$D44,"")))</f>
        <v/>
      </c>
      <c r="Y44" s="13" t="str">
        <f>IF(Y$9="One",One!$D44,IF(Y$9="Two",Two!$D44,IF(Y$9="Three",Three!$D44,"")))</f>
        <v/>
      </c>
      <c r="Z44" s="13" t="str">
        <f>IF(Z$9="One",One!$D44,IF(Z$9="Two",Two!$D44,IF(Z$9="Three",Three!$D44,"")))</f>
        <v/>
      </c>
    </row>
    <row r="45" spans="1:26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  <c r="X45" s="13" t="str">
        <f>IF(X$9="One",One!$D45,IF(X$9="Two",Two!$D45,IF(X$9="Three",Three!$D45,"")))</f>
        <v/>
      </c>
      <c r="Y45" s="13" t="str">
        <f>IF(Y$9="One",One!$D45,IF(Y$9="Two",Two!$D45,IF(Y$9="Three",Three!$D45,"")))</f>
        <v/>
      </c>
      <c r="Z45" s="13" t="str">
        <f>IF(Z$9="One",One!$D45,IF(Z$9="Two",Two!$D45,IF(Z$9="Three",Three!$D45,"")))</f>
        <v/>
      </c>
    </row>
    <row r="46" spans="1:26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  <c r="X46" s="13" t="str">
        <f>IF(X$9="One",One!$D46,IF(X$9="Two",Two!$D46,IF(X$9="Three",Three!$D46,"")))</f>
        <v/>
      </c>
      <c r="Y46" s="13" t="str">
        <f>IF(Y$9="One",One!$D46,IF(Y$9="Two",Two!$D46,IF(Y$9="Three",Three!$D46,"")))</f>
        <v/>
      </c>
      <c r="Z46" s="13" t="str">
        <f>IF(Z$9="One",One!$D46,IF(Z$9="Two",Two!$D46,IF(Z$9="Three",Three!$D46,"")))</f>
        <v/>
      </c>
    </row>
    <row r="47" spans="1:26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  <c r="X47" s="13" t="str">
        <f>IF(X$9="One",One!$D47,IF(X$9="Two",Two!$D47,IF(X$9="Three",Three!$D47,"")))</f>
        <v/>
      </c>
      <c r="Y47" s="13" t="str">
        <f>IF(Y$9="One",One!$D47,IF(Y$9="Two",Two!$D47,IF(Y$9="Three",Three!$D47,"")))</f>
        <v/>
      </c>
      <c r="Z47" s="13" t="str">
        <f>IF(Z$9="One",One!$D47,IF(Z$9="Two",Two!$D47,IF(Z$9="Three",Three!$D47,"")))</f>
        <v/>
      </c>
    </row>
    <row r="48" spans="1:26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  <c r="X48" s="13" t="str">
        <f>IF(X$9="One",One!$D48,IF(X$9="Two",Two!$D48,IF(X$9="Three",Three!$D48,"")))</f>
        <v/>
      </c>
      <c r="Y48" s="13" t="str">
        <f>IF(Y$9="One",One!$D48,IF(Y$9="Two",Two!$D48,IF(Y$9="Three",Three!$D48,"")))</f>
        <v/>
      </c>
      <c r="Z48" s="13" t="str">
        <f>IF(Z$9="One",One!$D48,IF(Z$9="Two",Two!$D48,IF(Z$9="Three",Three!$D48,"")))</f>
        <v/>
      </c>
    </row>
    <row r="49" spans="3:26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  <c r="X49" s="13" t="str">
        <f>IF(X$9="One",One!$D49,IF(X$9="Two",Two!$D49,IF(X$9="Three",Three!$D49,"")))</f>
        <v/>
      </c>
      <c r="Y49" s="13" t="str">
        <f>IF(Y$9="One",One!$D49,IF(Y$9="Two",Two!$D49,IF(Y$9="Three",Three!$D49,"")))</f>
        <v/>
      </c>
      <c r="Z49" s="13" t="str">
        <f>IF(Z$9="One",One!$D49,IF(Z$9="Two",Two!$D49,IF(Z$9="Three",Three!$D49,"")))</f>
        <v/>
      </c>
    </row>
    <row r="50" spans="3:26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  <c r="X50" s="13" t="str">
        <f>IF(X$9="One",One!$D50,IF(X$9="Two",Two!$D50,IF(X$9="Three",Three!$D50,"")))</f>
        <v/>
      </c>
      <c r="Y50" s="13" t="str">
        <f>IF(Y$9="One",One!$D50,IF(Y$9="Two",Two!$D50,IF(Y$9="Three",Three!$D50,"")))</f>
        <v/>
      </c>
      <c r="Z50" s="13" t="str">
        <f>IF(Z$9="One",One!$D50,IF(Z$9="Two",Two!$D50,IF(Z$9="Three",Three!$D50,"")))</f>
        <v/>
      </c>
    </row>
    <row r="51" spans="3:26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  <c r="X51" s="13" t="str">
        <f>IF(X$9="One",One!$D51,IF(X$9="Two",Two!$D51,IF(X$9="Three",Three!$D51,"")))</f>
        <v/>
      </c>
      <c r="Y51" s="13" t="str">
        <f>IF(Y$9="One",One!$D51,IF(Y$9="Two",Two!$D51,IF(Y$9="Three",Three!$D51,"")))</f>
        <v/>
      </c>
      <c r="Z51" s="13" t="str">
        <f>IF(Z$9="One",One!$D51,IF(Z$9="Two",Two!$D51,IF(Z$9="Three",Three!$D51,"")))</f>
        <v/>
      </c>
    </row>
    <row r="52" spans="3:26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  <c r="X52" s="13" t="str">
        <f>IF(X$9="One",One!$D52,IF(X$9="Two",Two!$D52,IF(X$9="Three",Three!$D52,"")))</f>
        <v/>
      </c>
      <c r="Y52" s="13" t="str">
        <f>IF(Y$9="One",One!$D52,IF(Y$9="Two",Two!$D52,IF(Y$9="Three",Three!$D52,"")))</f>
        <v/>
      </c>
      <c r="Z52" s="13" t="str">
        <f>IF(Z$9="One",One!$D52,IF(Z$9="Two",Two!$D52,IF(Z$9="Three",Three!$D52,"")))</f>
        <v/>
      </c>
    </row>
    <row r="53" spans="3:26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  <c r="X53" s="13" t="str">
        <f>IF(X$9="One",One!$D53,IF(X$9="Two",Two!$D53,IF(X$9="Three",Three!$D53,"")))</f>
        <v/>
      </c>
      <c r="Y53" s="13" t="str">
        <f>IF(Y$9="One",One!$D53,IF(Y$9="Two",Two!$D53,IF(Y$9="Three",Three!$D53,"")))</f>
        <v/>
      </c>
      <c r="Z53" s="13" t="str">
        <f>IF(Z$9="One",One!$D53,IF(Z$9="Two",Two!$D53,IF(Z$9="Three",Three!$D53,"")))</f>
        <v/>
      </c>
    </row>
    <row r="54" spans="3:26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  <c r="X54" s="13" t="str">
        <f>IF(X$9="One",One!$D54,IF(X$9="Two",Two!$D54,IF(X$9="Three",Three!$D54,"")))</f>
        <v/>
      </c>
      <c r="Y54" s="13" t="str">
        <f>IF(Y$9="One",One!$D54,IF(Y$9="Two",Two!$D54,IF(Y$9="Three",Three!$D54,"")))</f>
        <v/>
      </c>
      <c r="Z54" s="13" t="str">
        <f>IF(Z$9="One",One!$D54,IF(Z$9="Two",Two!$D54,IF(Z$9="Three",Three!$D54,"")))</f>
        <v/>
      </c>
    </row>
    <row r="55" spans="3:26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  <c r="X55" s="13" t="str">
        <f>IF(X$9="One",One!$D55,IF(X$9="Two",Two!$D55,IF(X$9="Three",Three!$D55,"")))</f>
        <v/>
      </c>
      <c r="Y55" s="13" t="str">
        <f>IF(Y$9="One",One!$D55,IF(Y$9="Two",Two!$D55,IF(Y$9="Three",Three!$D55,"")))</f>
        <v/>
      </c>
      <c r="Z55" s="13" t="str">
        <f>IF(Z$9="One",One!$D55,IF(Z$9="Two",Two!$D55,IF(Z$9="Three",Three!$D55,"")))</f>
        <v/>
      </c>
    </row>
    <row r="56" spans="3:26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  <c r="X56" s="13" t="str">
        <f>IF(X$9="One",One!$D56,IF(X$9="Two",Two!$D56,IF(X$9="Three",Three!$D56,"")))</f>
        <v/>
      </c>
      <c r="Y56" s="13" t="str">
        <f>IF(Y$9="One",One!$D56,IF(Y$9="Two",Two!$D56,IF(Y$9="Three",Three!$D56,"")))</f>
        <v/>
      </c>
      <c r="Z56" s="13" t="str">
        <f>IF(Z$9="One",One!$D56,IF(Z$9="Two",Two!$D56,IF(Z$9="Three",Three!$D56,"")))</f>
        <v/>
      </c>
    </row>
    <row r="57" spans="3:26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  <c r="X57" s="13" t="str">
        <f>IF(X$9="One",One!$D57,IF(X$9="Two",Two!$D57,IF(X$9="Three",Three!$D57,"")))</f>
        <v/>
      </c>
      <c r="Y57" s="13" t="str">
        <f>IF(Y$9="One",One!$D57,IF(Y$9="Two",Two!$D57,IF(Y$9="Three",Three!$D57,"")))</f>
        <v/>
      </c>
      <c r="Z57" s="13" t="str">
        <f>IF(Z$9="One",One!$D57,IF(Z$9="Two",Two!$D57,IF(Z$9="Three",Three!$D57,"")))</f>
        <v/>
      </c>
    </row>
    <row r="58" spans="3:26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  <c r="X58" s="13" t="str">
        <f>IF(X$9="One",One!$D58,IF(X$9="Two",Two!$D58,IF(X$9="Three",Three!$D58,"")))</f>
        <v/>
      </c>
      <c r="Y58" s="13" t="str">
        <f>IF(Y$9="One",One!$D58,IF(Y$9="Two",Two!$D58,IF(Y$9="Three",Three!$D58,"")))</f>
        <v/>
      </c>
      <c r="Z58" s="13" t="str">
        <f>IF(Z$9="One",One!$D58,IF(Z$9="Two",Two!$D58,IF(Z$9="Three",Three!$D58,"")))</f>
        <v/>
      </c>
    </row>
    <row r="59" spans="3:26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  <c r="X59" s="13" t="str">
        <f>IF(X$9="One",One!$D59,IF(X$9="Two",Two!$D59,IF(X$9="Three",Three!$D59,"")))</f>
        <v/>
      </c>
      <c r="Y59" s="13" t="str">
        <f>IF(Y$9="One",One!$D59,IF(Y$9="Two",Two!$D59,IF(Y$9="Three",Three!$D59,"")))</f>
        <v/>
      </c>
      <c r="Z59" s="13" t="str">
        <f>IF(Z$9="One",One!$D59,IF(Z$9="Two",Two!$D59,IF(Z$9="Three",Three!$D59,"")))</f>
        <v/>
      </c>
    </row>
    <row r="60" spans="3:26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  <c r="X60" s="13" t="str">
        <f>IF(X$9="One",One!$D60,IF(X$9="Two",Two!$D60,IF(X$9="Three",Three!$D60,"")))</f>
        <v/>
      </c>
      <c r="Y60" s="13" t="str">
        <f>IF(Y$9="One",One!$D60,IF(Y$9="Two",Two!$D60,IF(Y$9="Three",Three!$D60,"")))</f>
        <v/>
      </c>
      <c r="Z60" s="13" t="str">
        <f>IF(Z$9="One",One!$D60,IF(Z$9="Two",Two!$D60,IF(Z$9="Three",Three!$D60,"")))</f>
        <v/>
      </c>
    </row>
    <row r="61" spans="3:26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  <c r="X61" s="13" t="str">
        <f>IF(X$9="One",One!$D61,IF(X$9="Two",Two!$D61,IF(X$9="Three",Three!$D61,"")))</f>
        <v/>
      </c>
      <c r="Y61" s="13" t="str">
        <f>IF(Y$9="One",One!$D61,IF(Y$9="Two",Two!$D61,IF(Y$9="Three",Three!$D61,"")))</f>
        <v/>
      </c>
      <c r="Z61" s="13" t="str">
        <f>IF(Z$9="One",One!$D61,IF(Z$9="Two",Two!$D61,IF(Z$9="Three",Three!$D61,"")))</f>
        <v/>
      </c>
    </row>
    <row r="62" spans="3:26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  <c r="X62" s="13" t="str">
        <f>IF(X$9="One",One!$D62,IF(X$9="Two",Two!$D62,IF(X$9="Three",Three!$D62,"")))</f>
        <v/>
      </c>
      <c r="Y62" s="13" t="str">
        <f>IF(Y$9="One",One!$D62,IF(Y$9="Two",Two!$D62,IF(Y$9="Three",Three!$D62,"")))</f>
        <v/>
      </c>
      <c r="Z62" s="13" t="str">
        <f>IF(Z$9="One",One!$D62,IF(Z$9="Two",Two!$D62,IF(Z$9="Three",Three!$D62,"")))</f>
        <v/>
      </c>
    </row>
    <row r="63" spans="3:26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  <c r="X63" s="13" t="str">
        <f>IF(X$9="One",One!$D63,IF(X$9="Two",Two!$D63,IF(X$9="Three",Three!$D63,"")))</f>
        <v/>
      </c>
      <c r="Y63" s="13" t="str">
        <f>IF(Y$9="One",One!$D63,IF(Y$9="Two",Two!$D63,IF(Y$9="Three",Three!$D63,"")))</f>
        <v/>
      </c>
      <c r="Z63" s="13" t="str">
        <f>IF(Z$9="One",One!$D63,IF(Z$9="Two",Two!$D63,IF(Z$9="Three",Three!$D63,"")))</f>
        <v/>
      </c>
    </row>
    <row r="64" spans="3:26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  <c r="X64" s="13" t="str">
        <f>IF(X$9="One",One!$D64,IF(X$9="Two",Two!$D64,IF(X$9="Three",Three!$D64,"")))</f>
        <v/>
      </c>
      <c r="Y64" s="13" t="str">
        <f>IF(Y$9="One",One!$D64,IF(Y$9="Two",Two!$D64,IF(Y$9="Three",Three!$D64,"")))</f>
        <v/>
      </c>
      <c r="Z64" s="13" t="str">
        <f>IF(Z$9="One",One!$D64,IF(Z$9="Two",Two!$D64,IF(Z$9="Three",Three!$D64,"")))</f>
        <v/>
      </c>
    </row>
    <row r="65" spans="3:26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  <c r="X65" s="13" t="str">
        <f>IF(X$9="One",One!$D65,IF(X$9="Two",Two!$D65,IF(X$9="Three",Three!$D65,"")))</f>
        <v/>
      </c>
      <c r="Y65" s="13" t="str">
        <f>IF(Y$9="One",One!$D65,IF(Y$9="Two",Two!$D65,IF(Y$9="Three",Three!$D65,"")))</f>
        <v/>
      </c>
      <c r="Z65" s="13" t="str">
        <f>IF(Z$9="One",One!$D65,IF(Z$9="Two",Two!$D65,IF(Z$9="Three",Three!$D65,"")))</f>
        <v/>
      </c>
    </row>
    <row r="66" spans="3:26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  <c r="X66" s="13" t="str">
        <f>IF(X$9="One",One!$D66,IF(X$9="Two",Two!$D66,IF(X$9="Three",Three!$D66,"")))</f>
        <v/>
      </c>
      <c r="Y66" s="13" t="str">
        <f>IF(Y$9="One",One!$D66,IF(Y$9="Two",Two!$D66,IF(Y$9="Three",Three!$D66,"")))</f>
        <v/>
      </c>
      <c r="Z66" s="13" t="str">
        <f>IF(Z$9="One",One!$D66,IF(Z$9="Two",Two!$D66,IF(Z$9="Three",Three!$D66,"")))</f>
        <v/>
      </c>
    </row>
    <row r="67" spans="3:26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  <c r="X67" s="13" t="str">
        <f>IF(X$9="One",One!$D67,IF(X$9="Two",Two!$D67,IF(X$9="Three",Three!$D67,"")))</f>
        <v/>
      </c>
      <c r="Y67" s="13" t="str">
        <f>IF(Y$9="One",One!$D67,IF(Y$9="Two",Two!$D67,IF(Y$9="Three",Three!$D67,"")))</f>
        <v/>
      </c>
      <c r="Z67" s="13" t="str">
        <f>IF(Z$9="One",One!$D67,IF(Z$9="Two",Two!$D67,IF(Z$9="Three",Three!$D67,"")))</f>
        <v/>
      </c>
    </row>
    <row r="68" spans="3:26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  <c r="X68" s="13" t="str">
        <f>IF(X$9="One",One!$D68,IF(X$9="Two",Two!$D68,IF(X$9="Three",Three!$D68,"")))</f>
        <v/>
      </c>
      <c r="Y68" s="13" t="str">
        <f>IF(Y$9="One",One!$D68,IF(Y$9="Two",Two!$D68,IF(Y$9="Three",Three!$D68,"")))</f>
        <v/>
      </c>
      <c r="Z68" s="13" t="str">
        <f>IF(Z$9="One",One!$D68,IF(Z$9="Two",Two!$D68,IF(Z$9="Three",Three!$D68,"")))</f>
        <v/>
      </c>
    </row>
    <row r="69" spans="3:26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  <c r="X69" s="13" t="str">
        <f>IF(X$9="One",One!$D69,IF(X$9="Two",Two!$D69,IF(X$9="Three",Three!$D69,"")))</f>
        <v/>
      </c>
      <c r="Y69" s="13" t="str">
        <f>IF(Y$9="One",One!$D69,IF(Y$9="Two",Two!$D69,IF(Y$9="Three",Three!$D69,"")))</f>
        <v/>
      </c>
      <c r="Z69" s="13" t="str">
        <f>IF(Z$9="One",One!$D69,IF(Z$9="Two",Two!$D69,IF(Z$9="Three",Three!$D69,"")))</f>
        <v/>
      </c>
    </row>
    <row r="70" spans="3:26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  <c r="X70" s="13" t="str">
        <f>IF(X$9="One",One!$D70,IF(X$9="Two",Two!$D70,IF(X$9="Three",Three!$D70,"")))</f>
        <v/>
      </c>
      <c r="Y70" s="13" t="str">
        <f>IF(Y$9="One",One!$D70,IF(Y$9="Two",Two!$D70,IF(Y$9="Three",Three!$D70,"")))</f>
        <v/>
      </c>
      <c r="Z70" s="13" t="str">
        <f>IF(Z$9="One",One!$D70,IF(Z$9="Two",Two!$D70,IF(Z$9="Three",Three!$D70,"")))</f>
        <v/>
      </c>
    </row>
    <row r="71" spans="3:26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  <c r="X71" s="13" t="str">
        <f>IF(X$9="One",One!$D71,IF(X$9="Two",Two!$D71,IF(X$9="Three",Three!$D71,"")))</f>
        <v/>
      </c>
      <c r="Y71" s="13" t="str">
        <f>IF(Y$9="One",One!$D71,IF(Y$9="Two",Two!$D71,IF(Y$9="Three",Three!$D71,"")))</f>
        <v/>
      </c>
      <c r="Z71" s="13" t="str">
        <f>IF(Z$9="One",One!$D71,IF(Z$9="Two",Two!$D71,IF(Z$9="Three",Three!$D71,"")))</f>
        <v/>
      </c>
    </row>
    <row r="72" spans="3:26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  <c r="X72" s="13" t="str">
        <f>IF(X$9="One",One!$D72,IF(X$9="Two",Two!$D72,IF(X$9="Three",Three!$D72,"")))</f>
        <v/>
      </c>
      <c r="Y72" s="13" t="str">
        <f>IF(Y$9="One",One!$D72,IF(Y$9="Two",Two!$D72,IF(Y$9="Three",Three!$D72,"")))</f>
        <v/>
      </c>
      <c r="Z72" s="13" t="str">
        <f>IF(Z$9="One",One!$D72,IF(Z$9="Two",Two!$D72,IF(Z$9="Three",Three!$D72,"")))</f>
        <v/>
      </c>
    </row>
    <row r="73" spans="3:26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  <c r="X73" s="13" t="str">
        <f>IF(X$9="One",One!$D73,IF(X$9="Two",Two!$D73,IF(X$9="Three",Three!$D73,"")))</f>
        <v/>
      </c>
      <c r="Y73" s="13" t="str">
        <f>IF(Y$9="One",One!$D73,IF(Y$9="Two",Two!$D73,IF(Y$9="Three",Three!$D73,"")))</f>
        <v/>
      </c>
      <c r="Z73" s="13" t="str">
        <f>IF(Z$9="One",One!$D73,IF(Z$9="Two",Two!$D73,IF(Z$9="Three",Three!$D73,"")))</f>
        <v/>
      </c>
    </row>
    <row r="74" spans="3:26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  <c r="X74" s="13" t="str">
        <f>IF(X$9="One",One!$D74,IF(X$9="Two",Two!$D74,IF(X$9="Three",Three!$D74,"")))</f>
        <v/>
      </c>
      <c r="Y74" s="13" t="str">
        <f>IF(Y$9="One",One!$D74,IF(Y$9="Two",Two!$D74,IF(Y$9="Three",Three!$D74,"")))</f>
        <v/>
      </c>
      <c r="Z74" s="13" t="str">
        <f>IF(Z$9="One",One!$D74,IF(Z$9="Two",Two!$D74,IF(Z$9="Three",Three!$D74,"")))</f>
        <v/>
      </c>
    </row>
    <row r="75" spans="3:26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  <c r="X75" s="13" t="str">
        <f>IF(X$9="One",One!$D75,IF(X$9="Two",Two!$D75,IF(X$9="Three",Three!$D75,"")))</f>
        <v/>
      </c>
      <c r="Y75" s="13" t="str">
        <f>IF(Y$9="One",One!$D75,IF(Y$9="Two",Two!$D75,IF(Y$9="Three",Three!$D75,"")))</f>
        <v/>
      </c>
      <c r="Z75" s="13" t="str">
        <f>IF(Z$9="One",One!$D75,IF(Z$9="Two",Two!$D75,IF(Z$9="Three",Three!$D75,"")))</f>
        <v/>
      </c>
    </row>
    <row r="76" spans="3:26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  <c r="X76" s="13" t="str">
        <f>IF(X$9="One",One!$D76,IF(X$9="Two",Two!$D76,IF(X$9="Three",Three!$D76,"")))</f>
        <v/>
      </c>
      <c r="Y76" s="13" t="str">
        <f>IF(Y$9="One",One!$D76,IF(Y$9="Two",Two!$D76,IF(Y$9="Three",Three!$D76,"")))</f>
        <v/>
      </c>
      <c r="Z76" s="13" t="str">
        <f>IF(Z$9="One",One!$D76,IF(Z$9="Two",Two!$D76,IF(Z$9="Three",Three!$D76,"")))</f>
        <v/>
      </c>
    </row>
    <row r="77" spans="3:26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  <c r="X77" s="13" t="str">
        <f>IF(X$9="One",One!$D77,IF(X$9="Two",Two!$D77,IF(X$9="Three",Three!$D77,"")))</f>
        <v/>
      </c>
      <c r="Y77" s="13" t="str">
        <f>IF(Y$9="One",One!$D77,IF(Y$9="Two",Two!$D77,IF(Y$9="Three",Three!$D77,"")))</f>
        <v/>
      </c>
      <c r="Z77" s="13" t="str">
        <f>IF(Z$9="One",One!$D77,IF(Z$9="Two",Two!$D77,IF(Z$9="Three",Three!$D77,"")))</f>
        <v/>
      </c>
    </row>
    <row r="78" spans="3:26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  <c r="X78" s="13" t="str">
        <f>IF(X$9="One",One!$D78,IF(X$9="Two",Two!$D78,IF(X$9="Three",Three!$D78,"")))</f>
        <v/>
      </c>
      <c r="Y78" s="13" t="str">
        <f>IF(Y$9="One",One!$D78,IF(Y$9="Two",Two!$D78,IF(Y$9="Three",Three!$D78,"")))</f>
        <v/>
      </c>
      <c r="Z78" s="13" t="str">
        <f>IF(Z$9="One",One!$D78,IF(Z$9="Two",Two!$D78,IF(Z$9="Three",Three!$D78,"")))</f>
        <v/>
      </c>
    </row>
    <row r="79" spans="3:26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  <c r="X79" s="13" t="str">
        <f>IF(X$9="One",One!$D79,IF(X$9="Two",Two!$D79,IF(X$9="Three",Three!$D79,"")))</f>
        <v/>
      </c>
      <c r="Y79" s="13" t="str">
        <f>IF(Y$9="One",One!$D79,IF(Y$9="Two",Two!$D79,IF(Y$9="Three",Three!$D79,"")))</f>
        <v/>
      </c>
      <c r="Z79" s="13" t="str">
        <f>IF(Z$9="One",One!$D79,IF(Z$9="Two",Two!$D79,IF(Z$9="Three",Three!$D79,"")))</f>
        <v/>
      </c>
    </row>
    <row r="80" spans="3:26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  <c r="X80" s="13" t="str">
        <f>IF(X$9="One",One!$D80,IF(X$9="Two",Two!$D80,IF(X$9="Three",Three!$D80,"")))</f>
        <v/>
      </c>
      <c r="Y80" s="13" t="str">
        <f>IF(Y$9="One",One!$D80,IF(Y$9="Two",Two!$D80,IF(Y$9="Three",Three!$D80,"")))</f>
        <v/>
      </c>
      <c r="Z80" s="13" t="str">
        <f>IF(Z$9="One",One!$D80,IF(Z$9="Two",Two!$D80,IF(Z$9="Three",Three!$D80,"")))</f>
        <v/>
      </c>
    </row>
    <row r="81" spans="3:26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  <c r="X81" s="13" t="str">
        <f>IF(X$9="One",One!$D81,IF(X$9="Two",Two!$D81,IF(X$9="Three",Three!$D81,"")))</f>
        <v/>
      </c>
      <c r="Y81" s="13" t="str">
        <f>IF(Y$9="One",One!$D81,IF(Y$9="Two",Two!$D81,IF(Y$9="Three",Three!$D81,"")))</f>
        <v/>
      </c>
      <c r="Z81" s="13" t="str">
        <f>IF(Z$9="One",One!$D81,IF(Z$9="Two",Two!$D81,IF(Z$9="Three",Three!$D81,"")))</f>
        <v/>
      </c>
    </row>
    <row r="82" spans="3:26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  <c r="X82" s="13" t="str">
        <f>IF(X$9="One",One!$D82,IF(X$9="Two",Two!$D82,IF(X$9="Three",Three!$D82,"")))</f>
        <v/>
      </c>
      <c r="Y82" s="13" t="str">
        <f>IF(Y$9="One",One!$D82,IF(Y$9="Two",Two!$D82,IF(Y$9="Three",Three!$D82,"")))</f>
        <v/>
      </c>
      <c r="Z82" s="13" t="str">
        <f>IF(Z$9="One",One!$D82,IF(Z$9="Two",Two!$D82,IF(Z$9="Three",Three!$D82,"")))</f>
        <v/>
      </c>
    </row>
    <row r="83" spans="3:26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  <c r="X83" s="13" t="str">
        <f>IF(X$9="One",One!$D83,IF(X$9="Two",Two!$D83,IF(X$9="Three",Three!$D83,"")))</f>
        <v/>
      </c>
      <c r="Y83" s="13" t="str">
        <f>IF(Y$9="One",One!$D83,IF(Y$9="Two",Two!$D83,IF(Y$9="Three",Three!$D83,"")))</f>
        <v/>
      </c>
      <c r="Z83" s="13" t="str">
        <f>IF(Z$9="One",One!$D83,IF(Z$9="Two",Two!$D83,IF(Z$9="Three",Three!$D83,"")))</f>
        <v/>
      </c>
    </row>
    <row r="84" spans="3:26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  <c r="X84" s="13" t="str">
        <f>IF(X$9="One",One!$D84,IF(X$9="Two",Two!$D84,IF(X$9="Three",Three!$D84,"")))</f>
        <v/>
      </c>
      <c r="Y84" s="13" t="str">
        <f>IF(Y$9="One",One!$D84,IF(Y$9="Two",Two!$D84,IF(Y$9="Three",Three!$D84,"")))</f>
        <v/>
      </c>
      <c r="Z84" s="13" t="str">
        <f>IF(Z$9="One",One!$D84,IF(Z$9="Two",Two!$D84,IF(Z$9="Three",Three!$D84,"")))</f>
        <v/>
      </c>
    </row>
    <row r="85" spans="3:26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  <c r="X85" s="13" t="str">
        <f>IF(X$9="One",One!$D85,IF(X$9="Two",Two!$D85,IF(X$9="Three",Three!$D85,"")))</f>
        <v/>
      </c>
      <c r="Y85" s="13" t="str">
        <f>IF(Y$9="One",One!$D85,IF(Y$9="Two",Two!$D85,IF(Y$9="Three",Three!$D85,"")))</f>
        <v/>
      </c>
      <c r="Z85" s="13" t="str">
        <f>IF(Z$9="One",One!$D85,IF(Z$9="Two",Two!$D85,IF(Z$9="Three",Three!$D85,"")))</f>
        <v/>
      </c>
    </row>
    <row r="86" spans="3:26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  <c r="X86" s="13" t="str">
        <f>IF(X$9="One",One!$D86,IF(X$9="Two",Two!$D86,IF(X$9="Three",Three!$D86,"")))</f>
        <v/>
      </c>
      <c r="Y86" s="13" t="str">
        <f>IF(Y$9="One",One!$D86,IF(Y$9="Two",Two!$D86,IF(Y$9="Three",Three!$D86,"")))</f>
        <v/>
      </c>
      <c r="Z86" s="13" t="str">
        <f>IF(Z$9="One",One!$D86,IF(Z$9="Two",Two!$D86,IF(Z$9="Three",Three!$D86,"")))</f>
        <v/>
      </c>
    </row>
    <row r="87" spans="3:26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  <c r="X87" s="13" t="str">
        <f>IF(X$9="One",One!$D87,IF(X$9="Two",Two!$D87,IF(X$9="Three",Three!$D87,"")))</f>
        <v/>
      </c>
      <c r="Y87" s="13" t="str">
        <f>IF(Y$9="One",One!$D87,IF(Y$9="Two",Two!$D87,IF(Y$9="Three",Three!$D87,"")))</f>
        <v/>
      </c>
      <c r="Z87" s="13" t="str">
        <f>IF(Z$9="One",One!$D87,IF(Z$9="Two",Two!$D87,IF(Z$9="Three",Three!$D87,"")))</f>
        <v/>
      </c>
    </row>
    <row r="88" spans="3:26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  <c r="X88" s="13" t="str">
        <f>IF(X$9="One",One!$D88,IF(X$9="Two",Two!$D88,IF(X$9="Three",Three!$D88,"")))</f>
        <v/>
      </c>
      <c r="Y88" s="13" t="str">
        <f>IF(Y$9="One",One!$D88,IF(Y$9="Two",Two!$D88,IF(Y$9="Three",Three!$D88,"")))</f>
        <v/>
      </c>
      <c r="Z88" s="13" t="str">
        <f>IF(Z$9="One",One!$D88,IF(Z$9="Two",Two!$D88,IF(Z$9="Three",Three!$D88,"")))</f>
        <v/>
      </c>
    </row>
    <row r="89" spans="3:26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  <c r="X89" s="13" t="str">
        <f>IF(X$9="One",One!$D89,IF(X$9="Two",Two!$D89,IF(X$9="Three",Three!$D89,"")))</f>
        <v/>
      </c>
      <c r="Y89" s="13" t="str">
        <f>IF(Y$9="One",One!$D89,IF(Y$9="Two",Two!$D89,IF(Y$9="Three",Three!$D89,"")))</f>
        <v/>
      </c>
      <c r="Z89" s="13" t="str">
        <f>IF(Z$9="One",One!$D89,IF(Z$9="Two",Two!$D89,IF(Z$9="Three",Three!$D89,"")))</f>
        <v/>
      </c>
    </row>
    <row r="90" spans="3:26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  <c r="X90" s="13" t="str">
        <f>IF(X$9="One",One!$D90,IF(X$9="Two",Two!$D90,IF(X$9="Three",Three!$D90,"")))</f>
        <v/>
      </c>
      <c r="Y90" s="13" t="str">
        <f>IF(Y$9="One",One!$D90,IF(Y$9="Two",Two!$D90,IF(Y$9="Three",Three!$D90,"")))</f>
        <v/>
      </c>
      <c r="Z90" s="13" t="str">
        <f>IF(Z$9="One",One!$D90,IF(Z$9="Two",Two!$D90,IF(Z$9="Three",Three!$D90,"")))</f>
        <v/>
      </c>
    </row>
    <row r="91" spans="3:26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  <c r="X91" s="13" t="str">
        <f>IF(X$9="One",One!$D91,IF(X$9="Two",Two!$D91,IF(X$9="Three",Three!$D91,"")))</f>
        <v/>
      </c>
      <c r="Y91" s="13" t="str">
        <f>IF(Y$9="One",One!$D91,IF(Y$9="Two",Two!$D91,IF(Y$9="Three",Three!$D91,"")))</f>
        <v/>
      </c>
      <c r="Z91" s="13" t="str">
        <f>IF(Z$9="One",One!$D91,IF(Z$9="Two",Two!$D91,IF(Z$9="Three",Three!$D91,"")))</f>
        <v/>
      </c>
    </row>
    <row r="92" spans="3:26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  <c r="X92" s="13" t="str">
        <f>IF(X$9="One",One!$D92,IF(X$9="Two",Two!$D92,IF(X$9="Three",Three!$D92,"")))</f>
        <v/>
      </c>
      <c r="Y92" s="13" t="str">
        <f>IF(Y$9="One",One!$D92,IF(Y$9="Two",Two!$D92,IF(Y$9="Three",Three!$D92,"")))</f>
        <v/>
      </c>
      <c r="Z92" s="13" t="str">
        <f>IF(Z$9="One",One!$D92,IF(Z$9="Two",Two!$D92,IF(Z$9="Three",Three!$D92,"")))</f>
        <v/>
      </c>
    </row>
    <row r="93" spans="3:26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  <c r="X93" s="13" t="str">
        <f>IF(X$9="One",One!$D93,IF(X$9="Two",Two!$D93,IF(X$9="Three",Three!$D93,"")))</f>
        <v/>
      </c>
      <c r="Y93" s="13" t="str">
        <f>IF(Y$9="One",One!$D93,IF(Y$9="Two",Two!$D93,IF(Y$9="Three",Three!$D93,"")))</f>
        <v/>
      </c>
      <c r="Z93" s="13" t="str">
        <f>IF(Z$9="One",One!$D93,IF(Z$9="Two",Two!$D93,IF(Z$9="Three",Three!$D93,"")))</f>
        <v/>
      </c>
    </row>
    <row r="94" spans="3:26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  <c r="X94" s="13" t="str">
        <f>IF(X$9="One",One!$D94,IF(X$9="Two",Two!$D94,IF(X$9="Three",Three!$D94,"")))</f>
        <v/>
      </c>
      <c r="Y94" s="13" t="str">
        <f>IF(Y$9="One",One!$D94,IF(Y$9="Two",Two!$D94,IF(Y$9="Three",Three!$D94,"")))</f>
        <v/>
      </c>
      <c r="Z94" s="13" t="str">
        <f>IF(Z$9="One",One!$D94,IF(Z$9="Two",Two!$D94,IF(Z$9="Three",Three!$D94,"")))</f>
        <v/>
      </c>
    </row>
    <row r="95" spans="3:26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  <c r="X95" s="13" t="str">
        <f>IF(X$9="One",One!$D95,IF(X$9="Two",Two!$D95,IF(X$9="Three",Three!$D95,"")))</f>
        <v/>
      </c>
      <c r="Y95" s="13" t="str">
        <f>IF(Y$9="One",One!$D95,IF(Y$9="Two",Two!$D95,IF(Y$9="Three",Three!$D95,"")))</f>
        <v/>
      </c>
      <c r="Z95" s="13" t="str">
        <f>IF(Z$9="One",One!$D95,IF(Z$9="Two",Two!$D95,IF(Z$9="Three",Three!$D95,"")))</f>
        <v/>
      </c>
    </row>
    <row r="96" spans="3:26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  <c r="X96" s="13" t="str">
        <f>IF(X$9="One",One!$D96,IF(X$9="Two",Two!$D96,IF(X$9="Three",Three!$D96,"")))</f>
        <v/>
      </c>
      <c r="Y96" s="13" t="str">
        <f>IF(Y$9="One",One!$D96,IF(Y$9="Two",Two!$D96,IF(Y$9="Three",Three!$D96,"")))</f>
        <v/>
      </c>
      <c r="Z96" s="13" t="str">
        <f>IF(Z$9="One",One!$D96,IF(Z$9="Two",Two!$D96,IF(Z$9="Three",Three!$D96,"")))</f>
        <v/>
      </c>
    </row>
    <row r="97" spans="3:26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  <c r="X97" s="13" t="str">
        <f>IF(X$9="One",One!$D97,IF(X$9="Two",Two!$D97,IF(X$9="Three",Three!$D97,"")))</f>
        <v/>
      </c>
      <c r="Y97" s="13" t="str">
        <f>IF(Y$9="One",One!$D97,IF(Y$9="Two",Two!$D97,IF(Y$9="Three",Three!$D97,"")))</f>
        <v/>
      </c>
      <c r="Z97" s="13" t="str">
        <f>IF(Z$9="One",One!$D97,IF(Z$9="Two",Two!$D97,IF(Z$9="Three",Three!$D97,"")))</f>
        <v/>
      </c>
    </row>
    <row r="98" spans="3:26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  <c r="X98" s="13" t="str">
        <f>IF(X$9="One",One!$D98,IF(X$9="Two",Two!$D98,IF(X$9="Three",Three!$D98,"")))</f>
        <v/>
      </c>
      <c r="Y98" s="13" t="str">
        <f>IF(Y$9="One",One!$D98,IF(Y$9="Two",Two!$D98,IF(Y$9="Three",Three!$D98,"")))</f>
        <v/>
      </c>
      <c r="Z98" s="13" t="str">
        <f>IF(Z$9="One",One!$D98,IF(Z$9="Two",Two!$D98,IF(Z$9="Three",Three!$D98,"")))</f>
        <v/>
      </c>
    </row>
    <row r="99" spans="3:26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  <c r="X99" s="13" t="str">
        <f>IF(X$9="One",One!$D99,IF(X$9="Two",Two!$D99,IF(X$9="Three",Three!$D99,"")))</f>
        <v/>
      </c>
      <c r="Y99" s="13" t="str">
        <f>IF(Y$9="One",One!$D99,IF(Y$9="Two",Two!$D99,IF(Y$9="Three",Three!$D99,"")))</f>
        <v/>
      </c>
      <c r="Z99" s="13" t="str">
        <f>IF(Z$9="One",One!$D99,IF(Z$9="Two",Two!$D99,IF(Z$9="Three",Three!$D99,"")))</f>
        <v/>
      </c>
    </row>
    <row r="100" spans="3:26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  <c r="X100" s="13" t="str">
        <f>IF(X$9="One",One!$D100,IF(X$9="Two",Two!$D100,IF(X$9="Three",Three!$D100,"")))</f>
        <v/>
      </c>
      <c r="Y100" s="13" t="str">
        <f>IF(Y$9="One",One!$D100,IF(Y$9="Two",Two!$D100,IF(Y$9="Three",Three!$D100,"")))</f>
        <v/>
      </c>
      <c r="Z100" s="13" t="str">
        <f>IF(Z$9="One",One!$D100,IF(Z$9="Two",Two!$D100,IF(Z$9="Three",Three!$D100,"")))</f>
        <v/>
      </c>
    </row>
  </sheetData>
  <dataValidations count="1">
    <dataValidation type="list" allowBlank="1" showInputMessage="1" showErrorMessage="1" sqref="E9:Z9">
      <formula1>$AB$1:$AB$4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6</xdr:col>
                    <xdr:colOff>12700</xdr:colOff>
                    <xdr:row>1</xdr:row>
                    <xdr:rowOff>12700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812800</xdr:colOff>
                    <xdr:row>4</xdr:row>
                    <xdr:rowOff>165100</xdr:rowOff>
                  </from>
                  <to>
                    <xdr:col>4</xdr:col>
                    <xdr:colOff>63500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91</v>
      </c>
      <c r="AC7" s="6" t="s">
        <v>92</v>
      </c>
      <c r="AD7" s="6" t="s">
        <v>93</v>
      </c>
      <c r="AE7" s="6" t="s">
        <v>94</v>
      </c>
      <c r="AF7" s="6" t="s">
        <v>95</v>
      </c>
      <c r="AG7" s="6" t="s">
        <v>96</v>
      </c>
      <c r="AH7" s="6" t="s">
        <v>97</v>
      </c>
      <c r="AI7" s="6" t="s">
        <v>98</v>
      </c>
      <c r="AJ7" s="6" t="s">
        <v>99</v>
      </c>
      <c r="AK7" s="6" t="s">
        <v>100</v>
      </c>
      <c r="AL7" s="6" t="s">
        <v>101</v>
      </c>
      <c r="AM7" s="6" t="s">
        <v>102</v>
      </c>
      <c r="AO7" s="6" t="s">
        <v>91</v>
      </c>
      <c r="AP7" s="6" t="s">
        <v>92</v>
      </c>
      <c r="AQ7" s="6" t="s">
        <v>93</v>
      </c>
      <c r="AR7" s="6" t="s">
        <v>94</v>
      </c>
      <c r="AS7" s="6" t="s">
        <v>95</v>
      </c>
      <c r="AT7" s="6" t="s">
        <v>96</v>
      </c>
      <c r="AU7" s="6" t="s">
        <v>97</v>
      </c>
      <c r="AV7" s="6" t="s">
        <v>98</v>
      </c>
      <c r="AW7" s="6" t="s">
        <v>99</v>
      </c>
      <c r="AX7" s="6" t="s">
        <v>100</v>
      </c>
      <c r="AY7" s="6" t="s">
        <v>101</v>
      </c>
      <c r="AZ7" s="6" t="s">
        <v>102</v>
      </c>
      <c r="BB7" s="6" t="s">
        <v>91</v>
      </c>
      <c r="BC7" s="6" t="s">
        <v>92</v>
      </c>
      <c r="BD7" s="6" t="s">
        <v>93</v>
      </c>
      <c r="BE7" s="6" t="s">
        <v>94</v>
      </c>
      <c r="BF7" s="6" t="s">
        <v>95</v>
      </c>
      <c r="BG7" s="6" t="s">
        <v>96</v>
      </c>
      <c r="BH7" s="6" t="s">
        <v>97</v>
      </c>
      <c r="BI7" s="6" t="s">
        <v>98</v>
      </c>
      <c r="BJ7" s="6" t="s">
        <v>99</v>
      </c>
      <c r="BK7" s="6" t="s">
        <v>100</v>
      </c>
      <c r="BL7" s="6" t="s">
        <v>101</v>
      </c>
      <c r="BM7" s="6" t="s">
        <v>102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>-</v>
      </c>
      <c r="F9" s="8" t="str">
        <f>IFERROR(LEFT(INDEX(LO!$B8:$C30,MATCH(F8,LO!$B8:$B30,0),2),6),"-")</f>
        <v>-</v>
      </c>
      <c r="G9" s="8" t="str">
        <f>IFERROR(LEFT(INDEX(LO!$B8:$C30,MATCH(G8,LO!$B8:$B30,0),2),6),"-")</f>
        <v>-</v>
      </c>
      <c r="H9" s="8" t="str">
        <f>IFERROR(LEFT(INDEX(LO!$B8:$C30,MATCH(H8,LO!$B8:$B30,0),2),6),"-")</f>
        <v>-</v>
      </c>
      <c r="I9" s="8" t="str">
        <f>IFERROR(LEFT(INDEX(LO!$B8:$C30,MATCH(I8,LO!$B8:$B30,0),2),6),"-")</f>
        <v>-</v>
      </c>
      <c r="J9" s="8" t="str">
        <f>IFERROR(LEFT(INDEX(LO!$B8:$C30,MATCH(J8,LO!$B8:$B30,0),2),6),"-")</f>
        <v>-</v>
      </c>
      <c r="K9" s="8" t="str">
        <f>IFERROR(LEFT(INDEX(LO!$B8:$C30,MATCH(K8,LO!$B8:$B30,0),2),6),"-")</f>
        <v>-</v>
      </c>
      <c r="L9" s="8" t="str">
        <f>IFERROR(LEFT(INDEX(LO!$B8:$C30,MATCH(L8,LO!$B8:$B30,0),2),6),"-")</f>
        <v>-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84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85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86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87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88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6</xdr:col>
                    <xdr:colOff>0</xdr:colOff>
                    <xdr:row>1</xdr:row>
                    <xdr:rowOff>38100</xdr:rowOff>
                  </from>
                  <to>
                    <xdr:col>8</xdr:col>
                    <xdr:colOff>25400</xdr:colOff>
                    <xdr:row>3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91</v>
      </c>
      <c r="AC7" s="6" t="s">
        <v>92</v>
      </c>
      <c r="AD7" s="6" t="s">
        <v>93</v>
      </c>
      <c r="AE7" s="6" t="s">
        <v>94</v>
      </c>
      <c r="AF7" s="6" t="s">
        <v>95</v>
      </c>
      <c r="AG7" s="6" t="s">
        <v>96</v>
      </c>
      <c r="AH7" s="6" t="s">
        <v>97</v>
      </c>
      <c r="AI7" s="6" t="s">
        <v>98</v>
      </c>
      <c r="AJ7" s="6" t="s">
        <v>99</v>
      </c>
      <c r="AK7" s="6" t="s">
        <v>100</v>
      </c>
      <c r="AL7" s="6" t="s">
        <v>101</v>
      </c>
      <c r="AM7" s="6" t="s">
        <v>102</v>
      </c>
      <c r="AO7" s="6" t="s">
        <v>91</v>
      </c>
      <c r="AP7" s="6" t="s">
        <v>92</v>
      </c>
      <c r="AQ7" s="6" t="s">
        <v>93</v>
      </c>
      <c r="AR7" s="6" t="s">
        <v>94</v>
      </c>
      <c r="AS7" s="6" t="s">
        <v>95</v>
      </c>
      <c r="AT7" s="6" t="s">
        <v>96</v>
      </c>
      <c r="AU7" s="6" t="s">
        <v>97</v>
      </c>
      <c r="AV7" s="6" t="s">
        <v>98</v>
      </c>
      <c r="AW7" s="6" t="s">
        <v>99</v>
      </c>
      <c r="AX7" s="6" t="s">
        <v>100</v>
      </c>
      <c r="AY7" s="6" t="s">
        <v>101</v>
      </c>
      <c r="AZ7" s="6" t="s">
        <v>102</v>
      </c>
      <c r="BB7" s="6" t="s">
        <v>91</v>
      </c>
      <c r="BC7" s="6" t="s">
        <v>92</v>
      </c>
      <c r="BD7" s="6" t="s">
        <v>93</v>
      </c>
      <c r="BE7" s="6" t="s">
        <v>94</v>
      </c>
      <c r="BF7" s="6" t="s">
        <v>95</v>
      </c>
      <c r="BG7" s="6" t="s">
        <v>96</v>
      </c>
      <c r="BH7" s="6" t="s">
        <v>97</v>
      </c>
      <c r="BI7" s="6" t="s">
        <v>98</v>
      </c>
      <c r="BJ7" s="6" t="s">
        <v>99</v>
      </c>
      <c r="BK7" s="6" t="s">
        <v>100</v>
      </c>
      <c r="BL7" s="6" t="s">
        <v>101</v>
      </c>
      <c r="BM7" s="6" t="s">
        <v>102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>-</v>
      </c>
      <c r="F9" s="8" t="str">
        <f>IFERROR(LEFT(INDEX(LO!$B8:$C30,MATCH(F8,LO!$B8:$B30,0),2),6),"-")</f>
        <v>-</v>
      </c>
      <c r="G9" s="8" t="str">
        <f>IFERROR(LEFT(INDEX(LO!$B8:$C30,MATCH(G8,LO!$B8:$B30,0),2),6),"-")</f>
        <v>-</v>
      </c>
      <c r="H9" s="8" t="str">
        <f>IFERROR(LEFT(INDEX(LO!$B8:$C30,MATCH(H8,LO!$B8:$B30,0),2),6),"-")</f>
        <v>-</v>
      </c>
      <c r="I9" s="8" t="str">
        <f>IFERROR(LEFT(INDEX(LO!$B8:$C30,MATCH(I8,LO!$B8:$B30,0),2),6),"-")</f>
        <v>-</v>
      </c>
      <c r="J9" s="8" t="str">
        <f>IFERROR(LEFT(INDEX(LO!$B8:$C30,MATCH(J8,LO!$B8:$B30,0),2),6),"-")</f>
        <v>-</v>
      </c>
      <c r="K9" s="8" t="str">
        <f>IFERROR(LEFT(INDEX(LO!$B8:$C30,MATCH(K8,LO!$B8:$B30,0),2),6),"-")</f>
        <v>-</v>
      </c>
      <c r="L9" s="8" t="str">
        <f>IFERROR(LEFT(INDEX(LO!$B8:$C30,MATCH(L8,LO!$B8:$B30,0),2),6),"-")</f>
        <v>-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84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85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86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87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88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8</xdr:col>
                    <xdr:colOff>25400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91</v>
      </c>
      <c r="AC7" s="6" t="s">
        <v>92</v>
      </c>
      <c r="AD7" s="6" t="s">
        <v>93</v>
      </c>
      <c r="AE7" s="6" t="s">
        <v>94</v>
      </c>
      <c r="AF7" s="6" t="s">
        <v>95</v>
      </c>
      <c r="AG7" s="6" t="s">
        <v>96</v>
      </c>
      <c r="AH7" s="6" t="s">
        <v>97</v>
      </c>
      <c r="AI7" s="6" t="s">
        <v>98</v>
      </c>
      <c r="AJ7" s="6" t="s">
        <v>99</v>
      </c>
      <c r="AK7" s="6" t="s">
        <v>100</v>
      </c>
      <c r="AL7" s="6" t="s">
        <v>101</v>
      </c>
      <c r="AM7" s="6" t="s">
        <v>102</v>
      </c>
      <c r="AO7" s="6" t="s">
        <v>91</v>
      </c>
      <c r="AP7" s="6" t="s">
        <v>92</v>
      </c>
      <c r="AQ7" s="6" t="s">
        <v>93</v>
      </c>
      <c r="AR7" s="6" t="s">
        <v>94</v>
      </c>
      <c r="AS7" s="6" t="s">
        <v>95</v>
      </c>
      <c r="AT7" s="6" t="s">
        <v>96</v>
      </c>
      <c r="AU7" s="6" t="s">
        <v>97</v>
      </c>
      <c r="AV7" s="6" t="s">
        <v>98</v>
      </c>
      <c r="AW7" s="6" t="s">
        <v>99</v>
      </c>
      <c r="AX7" s="6" t="s">
        <v>100</v>
      </c>
      <c r="AY7" s="6" t="s">
        <v>101</v>
      </c>
      <c r="AZ7" s="6" t="s">
        <v>102</v>
      </c>
      <c r="BB7" s="6" t="s">
        <v>91</v>
      </c>
      <c r="BC7" s="6" t="s">
        <v>92</v>
      </c>
      <c r="BD7" s="6" t="s">
        <v>93</v>
      </c>
      <c r="BE7" s="6" t="s">
        <v>94</v>
      </c>
      <c r="BF7" s="6" t="s">
        <v>95</v>
      </c>
      <c r="BG7" s="6" t="s">
        <v>96</v>
      </c>
      <c r="BH7" s="6" t="s">
        <v>97</v>
      </c>
      <c r="BI7" s="6" t="s">
        <v>98</v>
      </c>
      <c r="BJ7" s="6" t="s">
        <v>99</v>
      </c>
      <c r="BK7" s="6" t="s">
        <v>100</v>
      </c>
      <c r="BL7" s="6" t="s">
        <v>101</v>
      </c>
      <c r="BM7" s="6" t="s">
        <v>102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>-</v>
      </c>
      <c r="F9" s="8" t="str">
        <f>IFERROR(LEFT(INDEX(LO!$B8:$C30,MATCH(F8,LO!$B8:$B30,0),2),6),"-")</f>
        <v>-</v>
      </c>
      <c r="G9" s="8" t="str">
        <f>IFERROR(LEFT(INDEX(LO!$B8:$C30,MATCH(G8,LO!$B8:$B30,0),2),6),"-")</f>
        <v>-</v>
      </c>
      <c r="H9" s="8" t="str">
        <f>IFERROR(LEFT(INDEX(LO!$B8:$C30,MATCH(H8,LO!$B8:$B30,0),2),6),"-")</f>
        <v>-</v>
      </c>
      <c r="I9" s="8" t="str">
        <f>IFERROR(LEFT(INDEX(LO!$B8:$C30,MATCH(I8,LO!$B8:$B30,0),2),6),"-")</f>
        <v>-</v>
      </c>
      <c r="J9" s="8" t="str">
        <f>IFERROR(LEFT(INDEX(LO!$B8:$C30,MATCH(J8,LO!$B8:$B30,0),2),6),"-")</f>
        <v>-</v>
      </c>
      <c r="K9" s="8" t="str">
        <f>IFERROR(LEFT(INDEX(LO!$B8:$C30,MATCH(K8,LO!$B8:$B30,0),2),6),"-")</f>
        <v>-</v>
      </c>
      <c r="L9" s="8" t="str">
        <f>IFERROR(LEFT(INDEX(LO!$B8:$C30,MATCH(L8,LO!$B8:$B30,0),2),6),"-")</f>
        <v>-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84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85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86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87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88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177800</xdr:rowOff>
                  </from>
                  <to>
                    <xdr:col>8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5"/>
  <sheetViews>
    <sheetView workbookViewId="0">
      <pane ySplit="11" topLeftCell="A12" activePane="bottomLeft" state="frozen"/>
      <selection pane="bottomLeft" activeCell="F8" sqref="F8"/>
    </sheetView>
  </sheetViews>
  <sheetFormatPr baseColWidth="10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</cols>
  <sheetData>
    <row r="1" spans="1:10">
      <c r="A1" s="1" t="s">
        <v>82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83</v>
      </c>
    </row>
    <row r="6" spans="1:10">
      <c r="A6" s="15" t="s">
        <v>84</v>
      </c>
      <c r="B6" s="16">
        <v>0.8</v>
      </c>
      <c r="C6" s="15" t="s">
        <v>23</v>
      </c>
      <c r="D6" s="16">
        <v>1</v>
      </c>
    </row>
    <row r="7" spans="1:10">
      <c r="A7" s="15" t="s">
        <v>85</v>
      </c>
      <c r="B7" s="16">
        <v>0.7</v>
      </c>
      <c r="C7" s="15" t="s">
        <v>23</v>
      </c>
      <c r="D7" s="16">
        <v>0.79</v>
      </c>
    </row>
    <row r="8" spans="1:10">
      <c r="A8" s="15" t="s">
        <v>86</v>
      </c>
      <c r="B8" s="16">
        <v>0.6</v>
      </c>
      <c r="C8" s="15" t="s">
        <v>23</v>
      </c>
      <c r="D8" s="16">
        <v>0.69</v>
      </c>
    </row>
    <row r="9" spans="1:10">
      <c r="A9" s="15" t="s">
        <v>87</v>
      </c>
      <c r="B9" s="16">
        <v>0.5</v>
      </c>
      <c r="C9" s="15" t="s">
        <v>23</v>
      </c>
      <c r="D9" s="16">
        <v>0.59</v>
      </c>
    </row>
    <row r="10" spans="1:10">
      <c r="A10" s="15" t="s">
        <v>88</v>
      </c>
      <c r="B10" s="16">
        <v>0</v>
      </c>
      <c r="C10" s="15" t="s">
        <v>23</v>
      </c>
      <c r="D10" s="16">
        <v>0.49</v>
      </c>
    </row>
    <row r="13" spans="1:10">
      <c r="A13" s="1" t="s">
        <v>103</v>
      </c>
    </row>
    <row r="14" spans="1:10">
      <c r="A14" t="s">
        <v>89</v>
      </c>
      <c r="E14" t="s">
        <v>7</v>
      </c>
      <c r="H14" t="s">
        <v>90</v>
      </c>
    </row>
    <row r="15" spans="1:10">
      <c r="F15" s="15" t="s">
        <v>88</v>
      </c>
      <c r="G15" s="15" t="s">
        <v>87</v>
      </c>
      <c r="H15" s="15" t="s">
        <v>86</v>
      </c>
      <c r="I15" s="15" t="s">
        <v>85</v>
      </c>
      <c r="J15" s="15" t="s">
        <v>84</v>
      </c>
    </row>
    <row r="16" spans="1:10">
      <c r="A16" t="str">
        <f>IF(COUNTIF(One!E9:Z9,"3.1.1 ")&gt;0,One!B4,"-")</f>
        <v>-</v>
      </c>
      <c r="F16" s="17" t="str">
        <f>IF($A16&lt;&gt;"-",One!$BB$14/One!$BB$15,"")</f>
        <v/>
      </c>
      <c r="G16" s="17" t="str">
        <f>IF($A16&lt;&gt;"-",One!$BB$13/One!$BB$15,"")</f>
        <v/>
      </c>
      <c r="H16" s="17" t="str">
        <f>IF($A16&lt;&gt;"-",One!$BB$12/One!$BB$15,"")</f>
        <v/>
      </c>
      <c r="I16" s="17" t="str">
        <f>IF($A16&lt;&gt;"-",One!$BB$11/One!$BB$15,"")</f>
        <v/>
      </c>
      <c r="J16" s="17" t="str">
        <f>IF($A16&lt;&gt;"-",One!$BB$10/One!$BB$15,"")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104</v>
      </c>
    </row>
    <row r="21" spans="1:10">
      <c r="A21" t="s">
        <v>89</v>
      </c>
      <c r="E21" t="s">
        <v>7</v>
      </c>
      <c r="H21" t="s">
        <v>90</v>
      </c>
    </row>
    <row r="22" spans="1:10">
      <c r="F22" s="15" t="s">
        <v>88</v>
      </c>
      <c r="G22" s="15" t="s">
        <v>87</v>
      </c>
      <c r="H22" s="15" t="s">
        <v>86</v>
      </c>
      <c r="I22" s="15" t="s">
        <v>85</v>
      </c>
      <c r="J22" s="15" t="s">
        <v>84</v>
      </c>
    </row>
    <row r="23" spans="1:10">
      <c r="A23" t="str">
        <f>IF(COUNTIF(One!E9:Z9,"3.1.2 ")&gt;0,One!B4,"-")</f>
        <v>-</v>
      </c>
      <c r="F23" s="17" t="str">
        <f>IF($A23&lt;&gt;"-",One!$BC$14/One!$BC$15,"")</f>
        <v/>
      </c>
      <c r="G23" s="17" t="str">
        <f>IF($A23&lt;&gt;"-",One!$BC$13/One!$BC$15,"")</f>
        <v/>
      </c>
      <c r="H23" s="17" t="str">
        <f>IF($A23&lt;&gt;"-",One!$BC$12/One!$BC$15,"")</f>
        <v/>
      </c>
      <c r="I23" s="17" t="str">
        <f>IF($A23&lt;&gt;"-",One!$BC$11/One!$BC$15,"")</f>
        <v/>
      </c>
      <c r="J23" s="17" t="str">
        <f>IF($A23&lt;&gt;"-",One!$BC$10/One!$BC$15,"")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105</v>
      </c>
    </row>
    <row r="28" spans="1:10">
      <c r="A28" t="s">
        <v>89</v>
      </c>
      <c r="E28" t="s">
        <v>7</v>
      </c>
      <c r="H28" t="s">
        <v>90</v>
      </c>
    </row>
    <row r="29" spans="1:10">
      <c r="F29" s="15" t="s">
        <v>88</v>
      </c>
      <c r="G29" s="15" t="s">
        <v>87</v>
      </c>
      <c r="H29" s="15" t="s">
        <v>86</v>
      </c>
      <c r="I29" s="15" t="s">
        <v>85</v>
      </c>
      <c r="J29" s="15" t="s">
        <v>84</v>
      </c>
    </row>
    <row r="30" spans="1:10">
      <c r="A30" t="str">
        <f>IF(COUNTIF(One!E$9:Z$9,"3.1.3 ")&gt;0,One!B$4,"-")</f>
        <v>-</v>
      </c>
      <c r="F30" s="17" t="str">
        <f>IF($A30&lt;&gt;"-",One!$BD$14/One!$BD$15,"")</f>
        <v/>
      </c>
      <c r="G30" s="17" t="str">
        <f>IF($A30&lt;&gt;"-",One!$BD$13/One!$BD$15,"")</f>
        <v/>
      </c>
      <c r="H30" s="17" t="str">
        <f>IF($A30&lt;&gt;"-",One!$BD$12/One!$BD$15,"")</f>
        <v/>
      </c>
      <c r="I30" s="17" t="str">
        <f>IF($A30&lt;&gt;"-",One!$BD$11/One!$BD$15,"")</f>
        <v/>
      </c>
      <c r="J30" s="17" t="str">
        <f>IF($A30&lt;&gt;"-",One!$BD$10/One!$BD$15,"")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106</v>
      </c>
    </row>
    <row r="35" spans="1:10">
      <c r="A35" t="s">
        <v>89</v>
      </c>
      <c r="E35" t="s">
        <v>7</v>
      </c>
      <c r="H35" t="s">
        <v>90</v>
      </c>
    </row>
    <row r="36" spans="1:10">
      <c r="F36" s="15" t="s">
        <v>88</v>
      </c>
      <c r="G36" s="15" t="s">
        <v>87</v>
      </c>
      <c r="H36" s="15" t="s">
        <v>86</v>
      </c>
      <c r="I36" s="15" t="s">
        <v>85</v>
      </c>
      <c r="J36" s="15" t="s">
        <v>84</v>
      </c>
    </row>
    <row r="37" spans="1:10">
      <c r="A37" t="str">
        <f>IF(COUNTIF(One!E$9:Z$9,"3.1.4 ")&gt;0,One!B$4,"-")</f>
        <v>-</v>
      </c>
      <c r="F37" s="17" t="str">
        <f>IF($A37&lt;&gt;"-",One!$BE$14/One!$BE$15,"")</f>
        <v/>
      </c>
      <c r="G37" s="17" t="str">
        <f>IF($A37&lt;&gt;"-",One!$BE$13/One!$BE$15,"")</f>
        <v/>
      </c>
      <c r="H37" s="17" t="str">
        <f>IF($A37&lt;&gt;"-",One!$BE$12/One!$BE$15,"")</f>
        <v/>
      </c>
      <c r="I37" s="17" t="str">
        <f>IF($A37&lt;&gt;"-",One!$BE$11/One!$BE$15,"")</f>
        <v/>
      </c>
      <c r="J37" s="17" t="str">
        <f>IF($A37&lt;&gt;"-",One!$BE$10/One!$BE$15,"")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107</v>
      </c>
    </row>
    <row r="42" spans="1:10">
      <c r="A42" t="s">
        <v>89</v>
      </c>
      <c r="E42" t="s">
        <v>7</v>
      </c>
      <c r="H42" t="s">
        <v>90</v>
      </c>
    </row>
    <row r="43" spans="1:10">
      <c r="F43" s="15" t="s">
        <v>88</v>
      </c>
      <c r="G43" s="15" t="s">
        <v>87</v>
      </c>
      <c r="H43" s="15" t="s">
        <v>86</v>
      </c>
      <c r="I43" s="15" t="s">
        <v>85</v>
      </c>
      <c r="J43" s="15" t="s">
        <v>84</v>
      </c>
    </row>
    <row r="44" spans="1:10">
      <c r="A44" t="str">
        <f>IF(COUNTIF(One!E$9:Z$9,"3.1.5 ")&gt;0,One!B$4,"-")</f>
        <v>-</v>
      </c>
      <c r="F44" s="17" t="str">
        <f>IF($A44&lt;&gt;"-",One!$BF$14/One!$BF$15,"")</f>
        <v/>
      </c>
      <c r="G44" s="17" t="str">
        <f>IF($A44&lt;&gt;"-",One!$BF$13/One!$BF$15,"")</f>
        <v/>
      </c>
      <c r="H44" s="17" t="str">
        <f>IF($A44&lt;&gt;"-",One!$BF$12/One!$BF$15,"")</f>
        <v/>
      </c>
      <c r="I44" s="17" t="str">
        <f>IF($A44&lt;&gt;"-",One!$BF$11/One!$BF$15,"")</f>
        <v/>
      </c>
      <c r="J44" s="17" t="str">
        <f>IF($A44&lt;&gt;"-",One!$BF$10/One!$BF$15,"")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108</v>
      </c>
    </row>
    <row r="49" spans="1:10">
      <c r="A49" t="s">
        <v>89</v>
      </c>
      <c r="E49" t="s">
        <v>7</v>
      </c>
      <c r="H49" t="s">
        <v>90</v>
      </c>
    </row>
    <row r="50" spans="1:10">
      <c r="F50" s="15" t="s">
        <v>88</v>
      </c>
      <c r="G50" s="15" t="s">
        <v>87</v>
      </c>
      <c r="H50" s="15" t="s">
        <v>86</v>
      </c>
      <c r="I50" s="15" t="s">
        <v>85</v>
      </c>
      <c r="J50" s="15" t="s">
        <v>84</v>
      </c>
    </row>
    <row r="51" spans="1:10">
      <c r="A51" t="str">
        <f>IF(COUNTIF(One!E$9:Z$9,"3.1.6 ")&gt;0,One!B$4,"-")</f>
        <v>-</v>
      </c>
      <c r="F51" s="17" t="str">
        <f>IF($A51&lt;&gt;"-",One!$BG$14/One!$BG$15,"")</f>
        <v/>
      </c>
      <c r="G51" s="17" t="str">
        <f>IF($A51&lt;&gt;"-",One!$BG$13/One!$BG$15,"")</f>
        <v/>
      </c>
      <c r="H51" s="17" t="str">
        <f>IF($A51&lt;&gt;"-",One!$BG$12/One!$BG$15,"")</f>
        <v/>
      </c>
      <c r="I51" s="17" t="str">
        <f>IF($A51&lt;&gt;"-",One!$BG$11/One!$BG$15,"")</f>
        <v/>
      </c>
      <c r="J51" s="17" t="str">
        <f>IF($A51&lt;&gt;"-",One!$BG$10/One!$BG$15,"")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109</v>
      </c>
    </row>
    <row r="56" spans="1:10">
      <c r="A56" t="s">
        <v>89</v>
      </c>
      <c r="E56" t="s">
        <v>7</v>
      </c>
      <c r="H56" t="s">
        <v>90</v>
      </c>
    </row>
    <row r="57" spans="1:10">
      <c r="F57" s="15" t="s">
        <v>88</v>
      </c>
      <c r="G57" s="15" t="s">
        <v>87</v>
      </c>
      <c r="H57" s="15" t="s">
        <v>86</v>
      </c>
      <c r="I57" s="15" t="s">
        <v>85</v>
      </c>
      <c r="J57" s="15" t="s">
        <v>84</v>
      </c>
    </row>
    <row r="58" spans="1:10">
      <c r="A58" t="str">
        <f>IF(COUNTIF(One!E$9:Z$9,"3.1.7 ")&gt;0,One!B$4,"-")</f>
        <v>-</v>
      </c>
      <c r="F58" s="17" t="str">
        <f>IF($A58&lt;&gt;"-",One!$BH$14/One!$BH$15,"")</f>
        <v/>
      </c>
      <c r="G58" s="17" t="str">
        <f>IF($A58&lt;&gt;"-",One!$BH$13/One!$BH$15,"")</f>
        <v/>
      </c>
      <c r="H58" s="17" t="str">
        <f>IF($A58&lt;&gt;"-",One!$BH$12/One!$BH$15,"")</f>
        <v/>
      </c>
      <c r="I58" s="17" t="str">
        <f>IF($A58&lt;&gt;"-",One!$BH$11/One!$BH$15,"")</f>
        <v/>
      </c>
      <c r="J58" s="17" t="str">
        <f>IF($A58&lt;&gt;"-",One!$BH$10/One!$BH$15,"")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110</v>
      </c>
    </row>
    <row r="63" spans="1:10">
      <c r="A63" t="s">
        <v>89</v>
      </c>
      <c r="E63" t="s">
        <v>7</v>
      </c>
      <c r="H63" t="s">
        <v>90</v>
      </c>
    </row>
    <row r="64" spans="1:10">
      <c r="F64" s="15" t="s">
        <v>88</v>
      </c>
      <c r="G64" s="15" t="s">
        <v>87</v>
      </c>
      <c r="H64" s="15" t="s">
        <v>86</v>
      </c>
      <c r="I64" s="15" t="s">
        <v>85</v>
      </c>
      <c r="J64" s="15" t="s">
        <v>84</v>
      </c>
    </row>
    <row r="65" spans="1:10">
      <c r="A65" t="str">
        <f>IF(COUNTIF(One!E$9:Z$9,"3.1.8 ")&gt;0,One!B$4,"-")</f>
        <v>-</v>
      </c>
      <c r="F65" s="17" t="str">
        <f>IF($A65&lt;&gt;"-",One!$BI$14/One!$BI$15,"")</f>
        <v/>
      </c>
      <c r="G65" s="17" t="str">
        <f>IF($A65&lt;&gt;"-",One!$BI$13/One!$BI$15,"")</f>
        <v/>
      </c>
      <c r="H65" s="17" t="str">
        <f>IF($A65&lt;&gt;"-",One!$BI$12/One!$BI$15,"")</f>
        <v/>
      </c>
      <c r="I65" s="17" t="str">
        <f>IF($A65&lt;&gt;"-",One!$BI$11/One!$BI$15,"")</f>
        <v/>
      </c>
      <c r="J65" s="17" t="str">
        <f>IF($A65&lt;&gt;"-",One!$BI$10/One!$BI$15,"")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111</v>
      </c>
    </row>
    <row r="70" spans="1:10">
      <c r="A70" t="s">
        <v>89</v>
      </c>
      <c r="E70" t="s">
        <v>7</v>
      </c>
      <c r="H70" t="s">
        <v>90</v>
      </c>
    </row>
    <row r="71" spans="1:10">
      <c r="F71" s="15" t="s">
        <v>88</v>
      </c>
      <c r="G71" s="15" t="s">
        <v>87</v>
      </c>
      <c r="H71" s="15" t="s">
        <v>86</v>
      </c>
      <c r="I71" s="15" t="s">
        <v>85</v>
      </c>
      <c r="J71" s="15" t="s">
        <v>84</v>
      </c>
    </row>
    <row r="72" spans="1:10">
      <c r="A72" t="str">
        <f>IF(COUNTIF(One!E$9:Z$9,"3.1.9 ")&gt;0,One!B$4,"-")</f>
        <v>-</v>
      </c>
      <c r="F72" s="17" t="str">
        <f>IF($A72&lt;&gt;"-",One!$BJ$14/One!$BJ$15,"")</f>
        <v/>
      </c>
      <c r="G72" s="17" t="str">
        <f>IF($A72&lt;&gt;"-",One!$BJ$13/One!$BJ$15,"")</f>
        <v/>
      </c>
      <c r="H72" s="17" t="str">
        <f>IF($A72&lt;&gt;"-",One!$BJ$12/One!$BJ$15,"")</f>
        <v/>
      </c>
      <c r="I72" s="17" t="str">
        <f>IF($A72&lt;&gt;"-",One!$BJ$11/One!$BJ$15,"")</f>
        <v/>
      </c>
      <c r="J72" s="17" t="str">
        <f>IF($A72&lt;&gt;"-",One!$BJ$10/One!$BJ$15,"")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112</v>
      </c>
    </row>
    <row r="77" spans="1:10">
      <c r="A77" t="s">
        <v>89</v>
      </c>
      <c r="E77" t="s">
        <v>7</v>
      </c>
      <c r="H77" t="s">
        <v>90</v>
      </c>
    </row>
    <row r="78" spans="1:10">
      <c r="F78" s="15" t="s">
        <v>88</v>
      </c>
      <c r="G78" s="15" t="s">
        <v>87</v>
      </c>
      <c r="H78" s="15" t="s">
        <v>86</v>
      </c>
      <c r="I78" s="15" t="s">
        <v>85</v>
      </c>
      <c r="J78" s="15" t="s">
        <v>84</v>
      </c>
    </row>
    <row r="79" spans="1:10">
      <c r="A79" t="str">
        <f>IF(COUNTIF(One!E$9:Z$9,"3.1.10")&gt;0,One!B$4,"-")</f>
        <v>-</v>
      </c>
      <c r="F79" s="17" t="str">
        <f>IF($A79&lt;&gt;"-",One!$BK$14/One!$BK$15,"")</f>
        <v/>
      </c>
      <c r="G79" s="17" t="str">
        <f>IF($A79&lt;&gt;"-",One!$BK$13/One!$BK$15,"")</f>
        <v/>
      </c>
      <c r="H79" s="17" t="str">
        <f>IF($A79&lt;&gt;"-",One!$BK$12/One!$BK$15,"")</f>
        <v/>
      </c>
      <c r="I79" s="17" t="str">
        <f>IF($A79&lt;&gt;"-",One!$BK$11/One!$BK$15,"")</f>
        <v/>
      </c>
      <c r="J79" s="17" t="str">
        <f>IF($A79&lt;&gt;"-",One!$BK$10/One!$BK$15,"")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113</v>
      </c>
    </row>
    <row r="84" spans="1:10">
      <c r="A84" t="s">
        <v>89</v>
      </c>
      <c r="E84" t="s">
        <v>7</v>
      </c>
      <c r="H84" t="s">
        <v>90</v>
      </c>
    </row>
    <row r="85" spans="1:10">
      <c r="F85" s="15" t="s">
        <v>88</v>
      </c>
      <c r="G85" s="15" t="s">
        <v>87</v>
      </c>
      <c r="H85" s="15" t="s">
        <v>86</v>
      </c>
      <c r="I85" s="15" t="s">
        <v>85</v>
      </c>
      <c r="J85" s="15" t="s">
        <v>84</v>
      </c>
    </row>
    <row r="86" spans="1:10">
      <c r="A86" t="str">
        <f>IF(COUNTIF(One!E$9:Z$9,"3.1.11")&gt;0,One!B$4,"-")</f>
        <v>-</v>
      </c>
      <c r="F86" s="17" t="str">
        <f>IF($A86&lt;&gt;"-",One!$BL$14/One!$BL$15,"")</f>
        <v/>
      </c>
      <c r="G86" s="17" t="str">
        <f>IF($A86&lt;&gt;"-",One!$BL$13/One!$BL$15,"")</f>
        <v/>
      </c>
      <c r="H86" s="17" t="str">
        <f>IF($A86&lt;&gt;"-",One!$BL$12/One!$BL$15,"")</f>
        <v/>
      </c>
      <c r="I86" s="17" t="str">
        <f>IF($A86&lt;&gt;"-",One!$BL$11/One!$BL$15,"")</f>
        <v/>
      </c>
      <c r="J86" s="17" t="str">
        <f>IF($A86&lt;&gt;"-",One!$BL$10/One!$BL$15,"")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114</v>
      </c>
    </row>
    <row r="91" spans="1:10">
      <c r="A91" t="s">
        <v>89</v>
      </c>
      <c r="E91" t="s">
        <v>7</v>
      </c>
      <c r="H91" t="s">
        <v>90</v>
      </c>
    </row>
    <row r="92" spans="1:10">
      <c r="F92" s="15" t="s">
        <v>88</v>
      </c>
      <c r="G92" s="15" t="s">
        <v>87</v>
      </c>
      <c r="H92" s="15" t="s">
        <v>86</v>
      </c>
      <c r="I92" s="15" t="s">
        <v>85</v>
      </c>
      <c r="J92" s="15" t="s">
        <v>84</v>
      </c>
    </row>
    <row r="93" spans="1:10">
      <c r="A93" t="str">
        <f>IF(COUNTIF(One!E$9:Z$9,"3.1.12")&gt;0,One!B$4,"-")</f>
        <v>-</v>
      </c>
      <c r="F93" s="17" t="str">
        <f>IF($A93&lt;&gt;"-",One!$BM$14/One!$BM$15,"")</f>
        <v/>
      </c>
      <c r="G93" s="17" t="str">
        <f>IF($A93&lt;&gt;"-",One!$BM$13/One!$BM$15,"")</f>
        <v/>
      </c>
      <c r="H93" s="17" t="str">
        <f>IF($A93&lt;&gt;"-",One!$BM$12/One!$BM$15,"")</f>
        <v/>
      </c>
      <c r="I93" s="17" t="str">
        <f>IF($A93&lt;&gt;"-",One!$BM$11/One!$BM$15,"")</f>
        <v/>
      </c>
      <c r="J93" s="17" t="str">
        <f>IF($A93&lt;&gt;"-",One!$BM$10/One!$BM$15,"")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Bob Brennan</cp:lastModifiedBy>
  <dcterms:created xsi:type="dcterms:W3CDTF">2016-02-12T21:05:57Z</dcterms:created>
  <dcterms:modified xsi:type="dcterms:W3CDTF">2016-02-16T20:05:50Z</dcterms:modified>
</cp:coreProperties>
</file>